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A Performance Dashboard\"/>
    </mc:Choice>
  </mc:AlternateContent>
  <xr:revisionPtr revIDLastSave="0" documentId="13_ncr:1_{D8170617-0A51-4767-9178-64949D778B58}" xr6:coauthVersionLast="47" xr6:coauthVersionMax="47" xr10:uidLastSave="{00000000-0000-0000-0000-000000000000}"/>
  <bookViews>
    <workbookView xWindow="28680" yWindow="-120" windowWidth="29040" windowHeight="15720" activeTab="3" xr2:uid="{E0D80794-A5C2-4253-A298-EDC44D8BE6D2}"/>
  </bookViews>
  <sheets>
    <sheet name="Candidate" sheetId="1" r:id="rId1"/>
    <sheet name="Job" sheetId="2" r:id="rId2"/>
    <sheet name="Application" sheetId="3" r:id="rId3"/>
    <sheet name="StatusHistory" sheetId="4" r:id="rId4"/>
    <sheet name="Source" sheetId="5" r:id="rId5"/>
    <sheet name="Interview" sheetId="6" r:id="rId6"/>
  </sheets>
  <definedNames>
    <definedName name="_xlnm._FilterDatabase" localSheetId="2" hidden="1">Application!$A$1:$G$83</definedName>
    <definedName name="_xlnm._FilterDatabase" localSheetId="0" hidden="1">Candidate!$A$1:$I$69</definedName>
    <definedName name="_xlnm._FilterDatabase" localSheetId="5" hidden="1">Interview!$A$1:$C$9</definedName>
    <definedName name="_xlnm._FilterDatabase" localSheetId="4" hidden="1">Source!$A$1:$B$8</definedName>
    <definedName name="_xlnm._FilterDatabase" localSheetId="3" hidden="1">StatusHistory!$A$1:$C$160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2" i="3" l="1"/>
  <c r="G70" i="3"/>
  <c r="G74" i="3"/>
  <c r="G78" i="3"/>
  <c r="G81" i="3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22" i="4"/>
  <c r="C121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48" i="4"/>
</calcChain>
</file>

<file path=xl/sharedStrings.xml><?xml version="1.0" encoding="utf-8"?>
<sst xmlns="http://schemas.openxmlformats.org/spreadsheetml/2006/main" count="1632" uniqueCount="423">
  <si>
    <t>Gender</t>
  </si>
  <si>
    <t>Major</t>
  </si>
  <si>
    <t>Notice_Period</t>
  </si>
  <si>
    <t>CandidateID</t>
  </si>
  <si>
    <t>CandidateName</t>
  </si>
  <si>
    <t>Email</t>
  </si>
  <si>
    <t>City</t>
  </si>
  <si>
    <t>ExperienceYears</t>
  </si>
  <si>
    <t>EducationLevel</t>
  </si>
  <si>
    <t>JobID</t>
  </si>
  <si>
    <t>JobTitle</t>
  </si>
  <si>
    <t>Department</t>
  </si>
  <si>
    <t>HiringManager</t>
  </si>
  <si>
    <t>EmploymentType</t>
  </si>
  <si>
    <t>OpenDate</t>
  </si>
  <si>
    <t>CloseDate</t>
  </si>
  <si>
    <t>TargetHeadCount</t>
  </si>
  <si>
    <t>ApplicationID</t>
  </si>
  <si>
    <t>ApplicationDate</t>
  </si>
  <si>
    <t>Source</t>
  </si>
  <si>
    <t>CurrentStatus</t>
  </si>
  <si>
    <t>FinalOutcome</t>
  </si>
  <si>
    <t>Status</t>
  </si>
  <si>
    <t>StatusDate</t>
  </si>
  <si>
    <t>JobStatus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</si>
  <si>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</si>
  <si>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</si>
  <si>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</si>
  <si>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</si>
  <si>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</si>
  <si>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</si>
  <si>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</si>
  <si>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</si>
  <si>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</si>
  <si>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</si>
  <si>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</si>
  <si>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</si>
  <si>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</si>
  <si>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</si>
  <si>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Data Analyst</t>
  </si>
  <si>
    <t>Data Engineer</t>
  </si>
  <si>
    <t>Data Scientist</t>
  </si>
  <si>
    <t>Automation Engineer</t>
  </si>
  <si>
    <t>Finance Analyst</t>
  </si>
  <si>
    <t>General Affair</t>
  </si>
  <si>
    <t>QA Engineer</t>
  </si>
  <si>
    <t>Payroll Analyst</t>
  </si>
  <si>
    <t>SalaryAllocation</t>
  </si>
  <si>
    <t>IT</t>
  </si>
  <si>
    <t>Finance</t>
  </si>
  <si>
    <t>HR</t>
  </si>
  <si>
    <t>Levi Ackermann</t>
  </si>
  <si>
    <t>Mikasa Ackermann</t>
  </si>
  <si>
    <t>Jean Kirsctein</t>
  </si>
  <si>
    <t>Historia Flower</t>
  </si>
  <si>
    <t>Armin Artlet</t>
  </si>
  <si>
    <t>Eren Yeager</t>
  </si>
  <si>
    <t>Hange Zoe</t>
  </si>
  <si>
    <t>Erwin Smith</t>
  </si>
  <si>
    <t>Sasha Blouse</t>
  </si>
  <si>
    <t>Full-Time</t>
  </si>
  <si>
    <t>Open</t>
  </si>
  <si>
    <t>On Hold</t>
  </si>
  <si>
    <t>EmployeeLevel</t>
  </si>
  <si>
    <t>GG03</t>
  </si>
  <si>
    <t>GG05</t>
  </si>
  <si>
    <t>GG07</t>
  </si>
  <si>
    <t>GG02</t>
  </si>
  <si>
    <t>GG01</t>
  </si>
  <si>
    <t>C001</t>
  </si>
  <si>
    <t>kenny@gmail.com</t>
  </si>
  <si>
    <t>M</t>
  </si>
  <si>
    <t>Computer Science</t>
  </si>
  <si>
    <t>Bachelor</t>
  </si>
  <si>
    <t>Paradis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</si>
  <si>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</si>
  <si>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</si>
  <si>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</si>
  <si>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</si>
  <si>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</si>
  <si>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</si>
  <si>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</si>
  <si>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</si>
  <si>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</si>
  <si>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</si>
  <si>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</si>
  <si>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</si>
  <si>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</si>
  <si>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</si>
  <si>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</si>
  <si>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</si>
  <si>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</si>
  <si>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</si>
  <si>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</si>
  <si>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</si>
  <si>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</si>
  <si>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</si>
  <si>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</si>
  <si>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</si>
  <si>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</si>
  <si>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</si>
  <si>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</si>
  <si>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</si>
  <si>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</si>
  <si>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</si>
  <si>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</si>
  <si>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</si>
  <si>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</si>
  <si>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F</t>
  </si>
  <si>
    <t>Accounting</t>
  </si>
  <si>
    <t>Fiscal Management</t>
  </si>
  <si>
    <t>Data Science</t>
  </si>
  <si>
    <t>Master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</si>
  <si>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</si>
  <si>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</si>
  <si>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</si>
  <si>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</si>
  <si>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</si>
  <si>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</si>
  <si>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</si>
  <si>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</si>
  <si>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</si>
  <si>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</si>
  <si>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</si>
  <si>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</si>
  <si>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</si>
  <si>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</si>
  <si>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</si>
  <si>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</si>
  <si>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</si>
  <si>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</si>
  <si>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</si>
  <si>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LinkedIn</t>
  </si>
  <si>
    <t>SourceID</t>
  </si>
  <si>
    <t>S01</t>
  </si>
  <si>
    <t>S02</t>
  </si>
  <si>
    <t>S03</t>
  </si>
  <si>
    <t>S04</t>
  </si>
  <si>
    <t>S05</t>
  </si>
  <si>
    <t>S06</t>
  </si>
  <si>
    <t>S07</t>
  </si>
  <si>
    <t>JobStreet</t>
  </si>
  <si>
    <t>Referral</t>
  </si>
  <si>
    <t>Company Website</t>
  </si>
  <si>
    <t>Other</t>
  </si>
  <si>
    <t>Indeed</t>
  </si>
  <si>
    <t>Kalibrr</t>
  </si>
  <si>
    <t>Applied</t>
  </si>
  <si>
    <t>J015</t>
  </si>
  <si>
    <t>J016</t>
  </si>
  <si>
    <t>J017</t>
  </si>
  <si>
    <t>J018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</si>
  <si>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</si>
  <si>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</si>
  <si>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</si>
  <si>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</si>
  <si>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</si>
  <si>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</si>
  <si>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</si>
  <si>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</si>
  <si>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</si>
  <si>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</si>
  <si>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</si>
  <si>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</si>
  <si>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</si>
  <si>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</si>
  <si>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</si>
  <si>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</si>
  <si>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</si>
  <si>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</si>
  <si>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</si>
  <si>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</si>
  <si>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</si>
  <si>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</si>
  <si>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</si>
  <si>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</si>
  <si>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</si>
  <si>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</si>
  <si>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</si>
  <si>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</si>
  <si>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</si>
  <si>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</si>
  <si>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</si>
  <si>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</si>
  <si>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</si>
  <si>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</si>
  <si>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</si>
  <si>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</si>
  <si>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</si>
  <si>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</si>
  <si>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</si>
  <si>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</si>
  <si>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</si>
  <si>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</si>
  <si>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</si>
  <si>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</si>
  <si>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</si>
  <si>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</si>
  <si>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</si>
  <si>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Finance Manager</t>
  </si>
  <si>
    <t>Sashi Bleeese</t>
  </si>
  <si>
    <t>Tax Associate</t>
  </si>
  <si>
    <t>Tax Executive</t>
  </si>
  <si>
    <t>Accounting Associate</t>
  </si>
  <si>
    <t>Accounting Executive</t>
  </si>
  <si>
    <t>Accounting Assisant Manager</t>
  </si>
  <si>
    <t>Sales Associate</t>
  </si>
  <si>
    <t>Sales Asistant Manager</t>
  </si>
  <si>
    <t>Sales Analyst</t>
  </si>
  <si>
    <t>HR Business Partner</t>
  </si>
  <si>
    <t>Sales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</si>
  <si>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</si>
  <si>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</si>
  <si>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</si>
  <si>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</si>
  <si>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</si>
  <si>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</si>
  <si>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</si>
  <si>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</si>
  <si>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</si>
  <si>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</si>
  <si>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</si>
  <si>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</si>
  <si>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</si>
  <si>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</si>
  <si>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</si>
  <si>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</si>
  <si>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</si>
  <si>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</si>
  <si>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</si>
  <si>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</si>
  <si>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</si>
  <si>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</si>
  <si>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</si>
  <si>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</si>
  <si>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</si>
  <si>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</si>
  <si>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</si>
  <si>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</si>
  <si>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</si>
  <si>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</si>
  <si>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</si>
  <si>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</si>
  <si>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</si>
  <si>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</si>
  <si>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</si>
  <si>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</si>
  <si>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</si>
  <si>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</si>
  <si>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</si>
  <si>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</si>
  <si>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</si>
  <si>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</si>
  <si>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</si>
  <si>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</si>
  <si>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</si>
  <si>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</si>
  <si>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</si>
  <si>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</si>
  <si>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</si>
  <si>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Screening</t>
  </si>
  <si>
    <t>Rejected</t>
  </si>
  <si>
    <t>InterviewerID</t>
  </si>
  <si>
    <t>Name</t>
  </si>
  <si>
    <t>Rei Hino</t>
  </si>
  <si>
    <t>Chooper</t>
  </si>
  <si>
    <t>Sanji</t>
  </si>
  <si>
    <t>Izuku Midoriya</t>
  </si>
  <si>
    <t>HR001</t>
  </si>
  <si>
    <t>HR002</t>
  </si>
  <si>
    <t>HR003</t>
  </si>
  <si>
    <t>HR004</t>
  </si>
  <si>
    <t>U001</t>
  </si>
  <si>
    <t>U002</t>
  </si>
  <si>
    <t>U003</t>
  </si>
  <si>
    <t>U004</t>
  </si>
  <si>
    <t>Katsuki</t>
  </si>
  <si>
    <t>Uraraka</t>
  </si>
  <si>
    <t>Tenya</t>
  </si>
  <si>
    <t>Ida</t>
  </si>
  <si>
    <t>User</t>
  </si>
  <si>
    <t>Category</t>
  </si>
  <si>
    <t>Kenny Ackermann 001</t>
  </si>
  <si>
    <t>Kenny Ackermann 002</t>
  </si>
  <si>
    <t>Kenny Ackermann 003</t>
  </si>
  <si>
    <t>Kenny Ackermann 004</t>
  </si>
  <si>
    <t>Kenny Ackermann 005</t>
  </si>
  <si>
    <t>Kenny Ackermann 006</t>
  </si>
  <si>
    <t>Kenny Ackermann 007</t>
  </si>
  <si>
    <t>Kenny Ackermann 008</t>
  </si>
  <si>
    <t>Kenny Ackermann 009</t>
  </si>
  <si>
    <t>Kenny Ackermann 010</t>
  </si>
  <si>
    <t>Kenny Ackermann 011</t>
  </si>
  <si>
    <t>Kenny Ackermann 012</t>
  </si>
  <si>
    <t>Kenny Ackermann 013</t>
  </si>
  <si>
    <t>Kenny Ackermann 014</t>
  </si>
  <si>
    <t>Kenny Ackermann 015</t>
  </si>
  <si>
    <t>Kenny Ackermann 016</t>
  </si>
  <si>
    <t>Kenny Ackermann 017</t>
  </si>
  <si>
    <t>Kenny Ackermann 018</t>
  </si>
  <si>
    <t>Kenny Ackermann 019</t>
  </si>
  <si>
    <t>Kenny Ackermann 020</t>
  </si>
  <si>
    <t>Kenny Ackermann 021</t>
  </si>
  <si>
    <t>Kenny Ackermann 022</t>
  </si>
  <si>
    <t>Kenny Ackermann 023</t>
  </si>
  <si>
    <t>Kenny Ackermann 024</t>
  </si>
  <si>
    <t>Kenny Ackermann 025</t>
  </si>
  <si>
    <t>Kenny Ackermann 026</t>
  </si>
  <si>
    <t>Kenny Ackermann 027</t>
  </si>
  <si>
    <t>Kenny Ackermann 028</t>
  </si>
  <si>
    <t>Kenny Ackermann 029</t>
  </si>
  <si>
    <t>Kenny Ackermann 030</t>
  </si>
  <si>
    <t>Kenny Ackermann 031</t>
  </si>
  <si>
    <t>Kenny Ackermann 032</t>
  </si>
  <si>
    <t>Kenny Ackermann 033</t>
  </si>
  <si>
    <t>Kenny Ackermann 034</t>
  </si>
  <si>
    <t>Kenny Ackermann 035</t>
  </si>
  <si>
    <t>Kenny Ackermann 036</t>
  </si>
  <si>
    <t>Kenny Ackermann 037</t>
  </si>
  <si>
    <t>Kenny Ackermann 038</t>
  </si>
  <si>
    <t>Kenny Ackermann 039</t>
  </si>
  <si>
    <t>Kenny Ackermann 040</t>
  </si>
  <si>
    <t>Kenny Ackermann 041</t>
  </si>
  <si>
    <t>Kenny Ackermann 042</t>
  </si>
  <si>
    <t>Kenny Ackermann 043</t>
  </si>
  <si>
    <t>Kenny Ackermann 044</t>
  </si>
  <si>
    <t>Kenny Ackermann 045</t>
  </si>
  <si>
    <t>Kenny Ackermann 046</t>
  </si>
  <si>
    <t>Kenny Ackermann 047</t>
  </si>
  <si>
    <t>Kenny Ackermann 048</t>
  </si>
  <si>
    <t>Kenny Ackermann 049</t>
  </si>
  <si>
    <t>Kenny Ackermann 050</t>
  </si>
  <si>
    <t>Kenny Ackermann 051</t>
  </si>
  <si>
    <t>Kenny Ackermann 052</t>
  </si>
  <si>
    <t>Kenny Ackermann 053</t>
  </si>
  <si>
    <t>Kenny Ackermann 054</t>
  </si>
  <si>
    <t>Kenny Ackermann 055</t>
  </si>
  <si>
    <t>Kenny Ackermann 056</t>
  </si>
  <si>
    <t>Kenny Ackermann 057</t>
  </si>
  <si>
    <t>Kenny Ackermann 058</t>
  </si>
  <si>
    <t>Kenny Ackermann 059</t>
  </si>
  <si>
    <t>Kenny Ackermann 060</t>
  </si>
  <si>
    <t>Kenny Ackermann 061</t>
  </si>
  <si>
    <t>Kenny Ackermann 062</t>
  </si>
  <si>
    <t>Kenny Ackermann 063</t>
  </si>
  <si>
    <t>Kenny Ackermann 064</t>
  </si>
  <si>
    <t>Kenny Ackermann 065</t>
  </si>
  <si>
    <t>Kenny Ackermann 066</t>
  </si>
  <si>
    <t>Kenny Ackermann 067</t>
  </si>
  <si>
    <t>Kenny Ackermann 068</t>
  </si>
  <si>
    <t>Connie</t>
  </si>
  <si>
    <t>Jean Mere</t>
  </si>
  <si>
    <t>Erland Halaand</t>
  </si>
  <si>
    <t>Mbappe</t>
  </si>
  <si>
    <t>A088</t>
  </si>
  <si>
    <t>C069</t>
  </si>
  <si>
    <t>Kenny Ackermann 069</t>
  </si>
  <si>
    <t>J019</t>
  </si>
  <si>
    <t>Data Engineer Manager</t>
  </si>
  <si>
    <t>Needy Man</t>
  </si>
  <si>
    <t>Closed</t>
  </si>
  <si>
    <t>Hired</t>
  </si>
  <si>
    <t>Interview 1</t>
  </si>
  <si>
    <t>Interview 2</t>
  </si>
  <si>
    <t>Interview 3</t>
  </si>
  <si>
    <t>Offered</t>
  </si>
  <si>
    <t>U008</t>
  </si>
  <si>
    <t>PIC_ID</t>
  </si>
  <si>
    <t>Kenny Ackermann 070</t>
  </si>
  <si>
    <t>Psychology</t>
  </si>
  <si>
    <t>C070</t>
  </si>
  <si>
    <t>A089</t>
  </si>
  <si>
    <t>U009</t>
  </si>
  <si>
    <t>U005</t>
  </si>
  <si>
    <t>U006</t>
  </si>
  <si>
    <t>U007</t>
  </si>
  <si>
    <t>U010</t>
  </si>
  <si>
    <t>U011</t>
  </si>
  <si>
    <t>Mikasa</t>
  </si>
  <si>
    <t>Yachi</t>
  </si>
  <si>
    <t>Kageyama</t>
  </si>
  <si>
    <t>Tsuki</t>
  </si>
  <si>
    <t>Maryam</t>
  </si>
  <si>
    <t>Rani</t>
  </si>
  <si>
    <t>Rina</t>
  </si>
  <si>
    <t>HR005</t>
  </si>
  <si>
    <t>HR006</t>
  </si>
  <si>
    <t>HR007</t>
  </si>
  <si>
    <t>HR008</t>
  </si>
  <si>
    <t>HR009</t>
  </si>
  <si>
    <t>Hinata</t>
  </si>
  <si>
    <t>Kenma</t>
  </si>
  <si>
    <t>Mao</t>
  </si>
  <si>
    <t>Mindy</t>
  </si>
  <si>
    <t>Nadia</t>
  </si>
  <si>
    <t>BC001</t>
  </si>
  <si>
    <t>Usopp</t>
  </si>
  <si>
    <t>usopp@gmail.com</t>
  </si>
  <si>
    <t>Law</t>
  </si>
  <si>
    <t>J020</t>
  </si>
  <si>
    <t>Legal Manager</t>
  </si>
  <si>
    <t>Legal</t>
  </si>
  <si>
    <t>Justin Andersen</t>
  </si>
  <si>
    <t>GG08</t>
  </si>
  <si>
    <t>BC002</t>
  </si>
  <si>
    <t>Luffy Dell</t>
  </si>
  <si>
    <t>luffy@gmail.com</t>
  </si>
  <si>
    <t>Konoha</t>
  </si>
  <si>
    <t>BC003</t>
  </si>
  <si>
    <t>Kakashi</t>
  </si>
  <si>
    <t>kakashi@gmail.com</t>
  </si>
  <si>
    <t>A090</t>
  </si>
  <si>
    <t>A091</t>
  </si>
  <si>
    <t>A092</t>
  </si>
  <si>
    <t>BC004</t>
  </si>
  <si>
    <t>BC005</t>
  </si>
  <si>
    <t>Hinata Hyuga</t>
  </si>
  <si>
    <t>hinata@gmail.com</t>
  </si>
  <si>
    <t>Sakura Hyuga</t>
  </si>
  <si>
    <t>sakura@gmail.com</t>
  </si>
  <si>
    <t>A093</t>
  </si>
  <si>
    <t>A094</t>
  </si>
  <si>
    <t>U012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</si>
</sst>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14" fontId="0" fillId="0" borderId="0" xfId="0" applyNumberFormat="1"/>
    <xf numFmtId="0" fontId="2" fillId="0" borderId="2" xfId="1" applyBorder="1"/>
    <xf numFmtId="0" fontId="2" fillId="0" borderId="0" xfId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Fill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Font="1" applyFill="1" applyBorder="1"/>
    <xf numFmtId="14" fontId="0" fillId="3" borderId="1" xfId="0" applyNumberFormat="1" applyFont="1" applyFill="1" applyBorder="1"/>
    <xf numFmtId="0" fontId="0" fillId="3" borderId="1" xfId="0" applyFont="1" applyFill="1" applyBorder="1"/>
  </cellXfs>
  <cellStyles count="2">
    <cellStyle name="Hyperlink" xfId="1" builtinId="8"/>
    <cellStyle name="Normal" xfId="0" builtinId="0"/>
  </cellStyles>
  <dxfs count="2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057F3-C845-4575-B02C-D103982D2B92}" name="Table1" displayName="Table1" ref="A1:I76" totalsRowShown="0" headerRowDxfId="24" headerRowBorderDxfId="23" tableBorderDxfId="22" totalsRowBorderDxfId="21">
  <autoFilter ref="A1:I76" xr:uid="{1D8057F3-C845-4575-B02C-D103982D2B92}"/>
  <tableColumns count="9">
    <tableColumn id="1" xr3:uid="{9C988DFF-B0E8-4FC0-AB73-D5CBD33D9031}" name="CandidateID" dataDxfId="20"/>
    <tableColumn id="2" xr3:uid="{E3C4EDC2-DB54-4E96-B2CA-A99754295DE6}" name="CandidateName" dataDxfId="19"/>
    <tableColumn id="3" xr3:uid="{45BDBDCE-1617-4653-AFD9-7F26683123EB}" name="Email" dataDxfId="18" dataCellStyle="Hyperlink"/>
    <tableColumn id="4" xr3:uid="{D2AA2AE2-89AF-4D5A-9545-C1AFA33E4E48}" name="Gender" dataDxfId="17"/>
    <tableColumn id="5" xr3:uid="{AE368C55-D30D-4E75-9ADE-30684E107E24}" name="Major" dataDxfId="16"/>
    <tableColumn id="6" xr3:uid="{A5600769-C49E-4333-AB7A-650CAF0EA25D}" name="EducationLevel" dataDxfId="15"/>
    <tableColumn id="7" xr3:uid="{5AC8B76F-17F9-414D-9FAF-3212219C4665}" name="ExperienceYears" dataDxfId="14"/>
    <tableColumn id="8" xr3:uid="{3B43B96A-DB51-4CAF-B7B8-A4496130805F}" name="Notice_Period" dataDxfId="13"/>
    <tableColumn id="9" xr3:uid="{6AC6B645-E15E-4310-A34E-D6AFB317F780}" name="Cit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16E163-06BB-4EE8-855B-DEAB5468FAB8}" name="Table2" displayName="Table2" ref="A1:H89" totalsRowShown="0" headerRowDxfId="11" headerRowBorderDxfId="10" tableBorderDxfId="9" totalsRowBorderDxfId="8">
  <autoFilter ref="A1:H89" xr:uid="{2616E163-06BB-4EE8-855B-DEAB5468FAB8}"/>
  <tableColumns count="8">
    <tableColumn id="1" xr3:uid="{D1E7681C-F0A0-4522-ADAC-49CCF0DC7260}" name="ApplicationID" dataDxfId="7"/>
    <tableColumn id="2" xr3:uid="{3E92AC6D-4847-4D83-A766-B1077CDB18F5}" name="CandidateID" dataDxfId="6"/>
    <tableColumn id="3" xr3:uid="{B514DA36-8798-46F4-AE34-9E3FCD7367E6}" name="JobID" dataDxfId="5"/>
    <tableColumn id="4" xr3:uid="{7FED55A1-A3CC-4BAE-B734-A8DEA97CF4F5}" name="ApplicationDate" dataDxfId="4"/>
    <tableColumn id="5" xr3:uid="{02CAE8AF-718C-4871-9467-49AE57DC252E}" name="SourceID" dataDxfId="3"/>
    <tableColumn id="6" xr3:uid="{96F1A212-15AB-4F90-8891-794D61E15C87}" name="CurrentStatus" dataDxfId="2"/>
    <tableColumn id="7" xr3:uid="{6EF816BE-D01A-4D79-9EDA-BCDD40E918D1}" name="FinalOutcome" dataDxfId="1"/>
    <tableColumn id="8" xr3:uid="{106C09CE-4041-477E-A2E1-D7E3771A2D93}" name="Interviewer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enny@gmail.com" TargetMode="External"/><Relationship Id="rId21" Type="http://schemas.openxmlformats.org/officeDocument/2006/relationships/hyperlink" Target="mailto:kenny@gmail.com" TargetMode="External"/><Relationship Id="rId42" Type="http://schemas.openxmlformats.org/officeDocument/2006/relationships/hyperlink" Target="mailto:kenny@gmail.com" TargetMode="External"/><Relationship Id="rId47" Type="http://schemas.openxmlformats.org/officeDocument/2006/relationships/hyperlink" Target="mailto:kenny@gmail.com" TargetMode="External"/><Relationship Id="rId63" Type="http://schemas.openxmlformats.org/officeDocument/2006/relationships/hyperlink" Target="mailto:kenny@gmail.com" TargetMode="External"/><Relationship Id="rId68" Type="http://schemas.openxmlformats.org/officeDocument/2006/relationships/hyperlink" Target="mailto:kenny@gmail.com" TargetMode="External"/><Relationship Id="rId2" Type="http://schemas.openxmlformats.org/officeDocument/2006/relationships/hyperlink" Target="mailto:kenny@gmail.com" TargetMode="External"/><Relationship Id="rId16" Type="http://schemas.openxmlformats.org/officeDocument/2006/relationships/hyperlink" Target="mailto:kenny@gmail.com" TargetMode="External"/><Relationship Id="rId29" Type="http://schemas.openxmlformats.org/officeDocument/2006/relationships/hyperlink" Target="mailto:kenny@gmail.com" TargetMode="External"/><Relationship Id="rId11" Type="http://schemas.openxmlformats.org/officeDocument/2006/relationships/hyperlink" Target="mailto:kenny@gmail.com" TargetMode="External"/><Relationship Id="rId24" Type="http://schemas.openxmlformats.org/officeDocument/2006/relationships/hyperlink" Target="mailto:kenny@gmail.com" TargetMode="External"/><Relationship Id="rId32" Type="http://schemas.openxmlformats.org/officeDocument/2006/relationships/hyperlink" Target="mailto:kenny@gmail.com" TargetMode="External"/><Relationship Id="rId37" Type="http://schemas.openxmlformats.org/officeDocument/2006/relationships/hyperlink" Target="mailto:kenny@gmail.com" TargetMode="External"/><Relationship Id="rId40" Type="http://schemas.openxmlformats.org/officeDocument/2006/relationships/hyperlink" Target="mailto:kenny@gmail.com" TargetMode="External"/><Relationship Id="rId45" Type="http://schemas.openxmlformats.org/officeDocument/2006/relationships/hyperlink" Target="mailto:kenny@gmail.com" TargetMode="External"/><Relationship Id="rId53" Type="http://schemas.openxmlformats.org/officeDocument/2006/relationships/hyperlink" Target="mailto:kenny@gmail.com" TargetMode="External"/><Relationship Id="rId58" Type="http://schemas.openxmlformats.org/officeDocument/2006/relationships/hyperlink" Target="mailto:kenny@gmail.com" TargetMode="External"/><Relationship Id="rId66" Type="http://schemas.openxmlformats.org/officeDocument/2006/relationships/hyperlink" Target="mailto:kenny@gmail.com" TargetMode="External"/><Relationship Id="rId74" Type="http://schemas.openxmlformats.org/officeDocument/2006/relationships/hyperlink" Target="mailto:hinata@gmail.com" TargetMode="External"/><Relationship Id="rId5" Type="http://schemas.openxmlformats.org/officeDocument/2006/relationships/hyperlink" Target="mailto:kenny@gmail.com" TargetMode="External"/><Relationship Id="rId61" Type="http://schemas.openxmlformats.org/officeDocument/2006/relationships/hyperlink" Target="mailto:kenny@gmail.com" TargetMode="External"/><Relationship Id="rId19" Type="http://schemas.openxmlformats.org/officeDocument/2006/relationships/hyperlink" Target="mailto:kenny@gmail.com" TargetMode="External"/><Relationship Id="rId14" Type="http://schemas.openxmlformats.org/officeDocument/2006/relationships/hyperlink" Target="mailto:kenny@gmail.com" TargetMode="External"/><Relationship Id="rId22" Type="http://schemas.openxmlformats.org/officeDocument/2006/relationships/hyperlink" Target="mailto:kenny@gmail.com" TargetMode="External"/><Relationship Id="rId27" Type="http://schemas.openxmlformats.org/officeDocument/2006/relationships/hyperlink" Target="mailto:kenny@gmail.com" TargetMode="External"/><Relationship Id="rId30" Type="http://schemas.openxmlformats.org/officeDocument/2006/relationships/hyperlink" Target="mailto:kenny@gmail.com" TargetMode="External"/><Relationship Id="rId35" Type="http://schemas.openxmlformats.org/officeDocument/2006/relationships/hyperlink" Target="mailto:kenny@gmail.com" TargetMode="External"/><Relationship Id="rId43" Type="http://schemas.openxmlformats.org/officeDocument/2006/relationships/hyperlink" Target="mailto:kenny@gmail.com" TargetMode="External"/><Relationship Id="rId48" Type="http://schemas.openxmlformats.org/officeDocument/2006/relationships/hyperlink" Target="mailto:kenny@gmail.com" TargetMode="External"/><Relationship Id="rId56" Type="http://schemas.openxmlformats.org/officeDocument/2006/relationships/hyperlink" Target="mailto:kenny@gmail.com" TargetMode="External"/><Relationship Id="rId64" Type="http://schemas.openxmlformats.org/officeDocument/2006/relationships/hyperlink" Target="mailto:kenny@gmail.com" TargetMode="External"/><Relationship Id="rId69" Type="http://schemas.openxmlformats.org/officeDocument/2006/relationships/hyperlink" Target="mailto:kenny@gmail.com" TargetMode="External"/><Relationship Id="rId8" Type="http://schemas.openxmlformats.org/officeDocument/2006/relationships/hyperlink" Target="mailto:kenny@gmail.com" TargetMode="External"/><Relationship Id="rId51" Type="http://schemas.openxmlformats.org/officeDocument/2006/relationships/hyperlink" Target="mailto:kenny@gmail.com" TargetMode="External"/><Relationship Id="rId72" Type="http://schemas.openxmlformats.org/officeDocument/2006/relationships/hyperlink" Target="mailto:luffy@gmail.com" TargetMode="External"/><Relationship Id="rId3" Type="http://schemas.openxmlformats.org/officeDocument/2006/relationships/hyperlink" Target="mailto:kenny@gmail.com" TargetMode="External"/><Relationship Id="rId12" Type="http://schemas.openxmlformats.org/officeDocument/2006/relationships/hyperlink" Target="mailto:kenny@gmail.com" TargetMode="External"/><Relationship Id="rId17" Type="http://schemas.openxmlformats.org/officeDocument/2006/relationships/hyperlink" Target="mailto:kenny@gmail.com" TargetMode="External"/><Relationship Id="rId25" Type="http://schemas.openxmlformats.org/officeDocument/2006/relationships/hyperlink" Target="mailto:kenny@gmail.com" TargetMode="External"/><Relationship Id="rId33" Type="http://schemas.openxmlformats.org/officeDocument/2006/relationships/hyperlink" Target="mailto:kenny@gmail.com" TargetMode="External"/><Relationship Id="rId38" Type="http://schemas.openxmlformats.org/officeDocument/2006/relationships/hyperlink" Target="mailto:kenny@gmail.com" TargetMode="External"/><Relationship Id="rId46" Type="http://schemas.openxmlformats.org/officeDocument/2006/relationships/hyperlink" Target="mailto:kenny@gmail.com" TargetMode="External"/><Relationship Id="rId59" Type="http://schemas.openxmlformats.org/officeDocument/2006/relationships/hyperlink" Target="mailto:kenny@gmail.com" TargetMode="External"/><Relationship Id="rId67" Type="http://schemas.openxmlformats.org/officeDocument/2006/relationships/hyperlink" Target="mailto:kenny@gmail.com" TargetMode="External"/><Relationship Id="rId20" Type="http://schemas.openxmlformats.org/officeDocument/2006/relationships/hyperlink" Target="mailto:kenny@gmail.com" TargetMode="External"/><Relationship Id="rId41" Type="http://schemas.openxmlformats.org/officeDocument/2006/relationships/hyperlink" Target="mailto:kenny@gmail.com" TargetMode="External"/><Relationship Id="rId54" Type="http://schemas.openxmlformats.org/officeDocument/2006/relationships/hyperlink" Target="mailto:kenny@gmail.com" TargetMode="External"/><Relationship Id="rId62" Type="http://schemas.openxmlformats.org/officeDocument/2006/relationships/hyperlink" Target="mailto:kenny@gmail.com" TargetMode="External"/><Relationship Id="rId70" Type="http://schemas.openxmlformats.org/officeDocument/2006/relationships/hyperlink" Target="mailto:kenny@gmail.com" TargetMode="External"/><Relationship Id="rId75" Type="http://schemas.openxmlformats.org/officeDocument/2006/relationships/hyperlink" Target="mailto:sakura@gmail.com" TargetMode="External"/><Relationship Id="rId1" Type="http://schemas.openxmlformats.org/officeDocument/2006/relationships/hyperlink" Target="mailto:kenny@gmail.com" TargetMode="External"/><Relationship Id="rId6" Type="http://schemas.openxmlformats.org/officeDocument/2006/relationships/hyperlink" Target="mailto:kenny@gmail.com" TargetMode="External"/><Relationship Id="rId15" Type="http://schemas.openxmlformats.org/officeDocument/2006/relationships/hyperlink" Target="mailto:kenny@gmail.com" TargetMode="External"/><Relationship Id="rId23" Type="http://schemas.openxmlformats.org/officeDocument/2006/relationships/hyperlink" Target="mailto:kenny@gmail.com" TargetMode="External"/><Relationship Id="rId28" Type="http://schemas.openxmlformats.org/officeDocument/2006/relationships/hyperlink" Target="mailto:kenny@gmail.com" TargetMode="External"/><Relationship Id="rId36" Type="http://schemas.openxmlformats.org/officeDocument/2006/relationships/hyperlink" Target="mailto:kenny@gmail.com" TargetMode="External"/><Relationship Id="rId49" Type="http://schemas.openxmlformats.org/officeDocument/2006/relationships/hyperlink" Target="mailto:kenny@gmail.com" TargetMode="External"/><Relationship Id="rId57" Type="http://schemas.openxmlformats.org/officeDocument/2006/relationships/hyperlink" Target="mailto:kenny@gmail.com" TargetMode="External"/><Relationship Id="rId10" Type="http://schemas.openxmlformats.org/officeDocument/2006/relationships/hyperlink" Target="mailto:kenny@gmail.com" TargetMode="External"/><Relationship Id="rId31" Type="http://schemas.openxmlformats.org/officeDocument/2006/relationships/hyperlink" Target="mailto:kenny@gmail.com" TargetMode="External"/><Relationship Id="rId44" Type="http://schemas.openxmlformats.org/officeDocument/2006/relationships/hyperlink" Target="mailto:kenny@gmail.com" TargetMode="External"/><Relationship Id="rId52" Type="http://schemas.openxmlformats.org/officeDocument/2006/relationships/hyperlink" Target="mailto:kenny@gmail.com" TargetMode="External"/><Relationship Id="rId60" Type="http://schemas.openxmlformats.org/officeDocument/2006/relationships/hyperlink" Target="mailto:kenny@gmail.com" TargetMode="External"/><Relationship Id="rId65" Type="http://schemas.openxmlformats.org/officeDocument/2006/relationships/hyperlink" Target="mailto:kenny@gmail.com" TargetMode="External"/><Relationship Id="rId73" Type="http://schemas.openxmlformats.org/officeDocument/2006/relationships/hyperlink" Target="mailto:kakashi@gmail.com" TargetMode="External"/><Relationship Id="rId4" Type="http://schemas.openxmlformats.org/officeDocument/2006/relationships/hyperlink" Target="mailto:kenny@gmail.com" TargetMode="External"/><Relationship Id="rId9" Type="http://schemas.openxmlformats.org/officeDocument/2006/relationships/hyperlink" Target="mailto:kenny@gmail.com" TargetMode="External"/><Relationship Id="rId13" Type="http://schemas.openxmlformats.org/officeDocument/2006/relationships/hyperlink" Target="mailto:kenny@gmail.com" TargetMode="External"/><Relationship Id="rId18" Type="http://schemas.openxmlformats.org/officeDocument/2006/relationships/hyperlink" Target="mailto:kenny@gmail.com" TargetMode="External"/><Relationship Id="rId39" Type="http://schemas.openxmlformats.org/officeDocument/2006/relationships/hyperlink" Target="mailto:kenny@gmail.com" TargetMode="External"/><Relationship Id="rId34" Type="http://schemas.openxmlformats.org/officeDocument/2006/relationships/hyperlink" Target="mailto:kenny@gmail.com" TargetMode="External"/><Relationship Id="rId50" Type="http://schemas.openxmlformats.org/officeDocument/2006/relationships/hyperlink" Target="mailto:kenny@gmail.com" TargetMode="External"/><Relationship Id="rId55" Type="http://schemas.openxmlformats.org/officeDocument/2006/relationships/hyperlink" Target="mailto:kenny@gmail.com" TargetMode="External"/><Relationship Id="rId76" Type="http://schemas.openxmlformats.org/officeDocument/2006/relationships/table" Target="../tables/table1.xml"/><Relationship Id="rId7" Type="http://schemas.openxmlformats.org/officeDocument/2006/relationships/hyperlink" Target="mailto:kenny@gmail.com" TargetMode="External"/><Relationship Id="rId71" Type="http://schemas.openxmlformats.org/officeDocument/2006/relationships/hyperlink" Target="mailto:usopp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EA55-2193-4AEE-87EC-E3D507FE6209}">
  <dimension ref="A1:I141"/>
  <sheetViews>
    <sheetView topLeftCell="A55" workbookViewId="0">
      <selection activeCell="E83" sqref="E83"/>
    </sheetView>
  </sheetViews>
  <sheetFormatPr defaultRowHeight="15" x14ac:dyDescent="0.25"/>
  <cols>
    <col min="1" max="1" width="14" customWidth="1"/>
    <col min="2" max="2" width="28.5703125" customWidth="1"/>
    <col min="3" max="3" width="17.7109375" bestFit="1" customWidth="1"/>
    <col min="4" max="4" width="9.85546875" customWidth="1"/>
    <col min="5" max="5" width="23.28515625" customWidth="1"/>
    <col min="6" max="6" width="16.5703125" customWidth="1"/>
    <col min="7" max="7" width="17.85546875" customWidth="1"/>
    <col min="8" max="8" width="15.85546875" customWidth="1"/>
    <col min="9" max="9" width="7.42578125" bestFit="1" customWidth="1"/>
  </cols>
  <sheetData>
    <row r="1" spans="1:9" x14ac:dyDescent="0.25">
      <c r="A1" s="13" t="s">
        <v>3</v>
      </c>
      <c r="B1" s="14" t="s">
        <v>4</v>
      </c>
      <c r="C1" s="14" t="s">
        <v>5</v>
      </c>
      <c r="D1" s="14" t="s">
        <v>0</v>
      </c>
      <c r="E1" s="14" t="s">
        <v>1</v>
      </c>
      <c r="F1" s="14" t="s">
        <v>8</v>
      </c>
      <c r="G1" s="14" t="s">
        <v>7</v>
      </c>
      <c r="H1" s="14" t="s">
        <v>2</v>
      </c>
      <c r="I1" s="15" t="s">
        <v>6</v>
      </c>
    </row>
    <row r="2" spans="1:9" x14ac:dyDescent="0.25">
      <c r="A2" s="11" t="s">
        <v>69</v>
      </c>
      <c r="B2" s="1" t="s">
        <v>282</v>
      </c>
      <c r="C2" s="3" t="s">
        <v>70</v>
      </c>
      <c r="D2" s="1" t="s">
        <v>71</v>
      </c>
      <c r="E2" s="1" t="s">
        <v>72</v>
      </c>
      <c r="F2" s="1" t="s">
        <v>73</v>
      </c>
      <c r="G2" s="1">
        <v>5</v>
      </c>
      <c r="H2" s="1">
        <v>1</v>
      </c>
      <c r="I2" s="12" t="s">
        <v>74</v>
      </c>
    </row>
    <row r="3" spans="1:9" x14ac:dyDescent="0.25">
      <c r="A3" s="11" t="s">
        <v>75</v>
      </c>
      <c r="B3" s="1" t="s">
        <v>283</v>
      </c>
      <c r="C3" s="3" t="s">
        <v>70</v>
      </c>
      <c r="D3" s="1" t="s">
        <v>108</v>
      </c>
      <c r="E3" s="1" t="s">
        <v>109</v>
      </c>
      <c r="F3" s="1" t="s">
        <v>73</v>
      </c>
      <c r="G3" s="1">
        <v>4</v>
      </c>
      <c r="H3" s="1">
        <v>2</v>
      </c>
      <c r="I3" s="12" t="s">
        <v>74</v>
      </c>
    </row>
    <row r="4" spans="1:9" x14ac:dyDescent="0.25">
      <c r="A4" s="11" t="s">
        <v>76</v>
      </c>
      <c r="B4" s="1" t="s">
        <v>284</v>
      </c>
      <c r="C4" s="3" t="s">
        <v>70</v>
      </c>
      <c r="D4" s="1" t="s">
        <v>108</v>
      </c>
      <c r="E4" s="1" t="s">
        <v>72</v>
      </c>
      <c r="F4" s="1" t="s">
        <v>73</v>
      </c>
      <c r="G4" s="1">
        <v>5</v>
      </c>
      <c r="H4" s="1">
        <v>1</v>
      </c>
      <c r="I4" s="12" t="s">
        <v>74</v>
      </c>
    </row>
    <row r="5" spans="1:9" x14ac:dyDescent="0.25">
      <c r="A5" s="11" t="s">
        <v>77</v>
      </c>
      <c r="B5" s="1" t="s">
        <v>285</v>
      </c>
      <c r="C5" s="3" t="s">
        <v>70</v>
      </c>
      <c r="D5" s="1" t="s">
        <v>71</v>
      </c>
      <c r="E5" s="1" t="s">
        <v>110</v>
      </c>
      <c r="F5" s="1" t="s">
        <v>112</v>
      </c>
      <c r="G5" s="1">
        <v>5</v>
      </c>
      <c r="H5" s="1">
        <v>1</v>
      </c>
      <c r="I5" s="12" t="s">
        <v>74</v>
      </c>
    </row>
    <row r="6" spans="1:9" x14ac:dyDescent="0.25">
      <c r="A6" s="11" t="s">
        <v>78</v>
      </c>
      <c r="B6" s="1" t="s">
        <v>286</v>
      </c>
      <c r="C6" s="3" t="s">
        <v>70</v>
      </c>
      <c r="D6" s="1" t="s">
        <v>71</v>
      </c>
      <c r="E6" s="1" t="s">
        <v>111</v>
      </c>
      <c r="F6" s="1" t="s">
        <v>73</v>
      </c>
      <c r="G6" s="1">
        <v>5</v>
      </c>
      <c r="H6" s="1">
        <v>1</v>
      </c>
      <c r="I6" s="12" t="s">
        <v>74</v>
      </c>
    </row>
    <row r="7" spans="1:9" x14ac:dyDescent="0.25">
      <c r="A7" s="11" t="s">
        <v>79</v>
      </c>
      <c r="B7" s="1" t="s">
        <v>287</v>
      </c>
      <c r="C7" s="3" t="s">
        <v>70</v>
      </c>
      <c r="D7" s="1" t="s">
        <v>108</v>
      </c>
      <c r="E7" s="1" t="s">
        <v>109</v>
      </c>
      <c r="F7" s="1" t="s">
        <v>73</v>
      </c>
      <c r="G7" s="1">
        <v>5</v>
      </c>
      <c r="H7" s="1">
        <v>1</v>
      </c>
      <c r="I7" s="12" t="s">
        <v>74</v>
      </c>
    </row>
    <row r="8" spans="1:9" x14ac:dyDescent="0.25">
      <c r="A8" s="11" t="s">
        <v>80</v>
      </c>
      <c r="B8" s="1" t="s">
        <v>288</v>
      </c>
      <c r="C8" s="3" t="s">
        <v>70</v>
      </c>
      <c r="D8" s="1" t="s">
        <v>71</v>
      </c>
      <c r="E8" s="1" t="s">
        <v>72</v>
      </c>
      <c r="F8" s="1" t="s">
        <v>73</v>
      </c>
      <c r="G8" s="1">
        <v>6</v>
      </c>
      <c r="H8" s="1">
        <v>1</v>
      </c>
      <c r="I8" s="12" t="s">
        <v>74</v>
      </c>
    </row>
    <row r="9" spans="1:9" x14ac:dyDescent="0.25">
      <c r="A9" s="11" t="s">
        <v>81</v>
      </c>
      <c r="B9" s="1" t="s">
        <v>289</v>
      </c>
      <c r="C9" s="3" t="s">
        <v>70</v>
      </c>
      <c r="D9" s="1" t="s">
        <v>108</v>
      </c>
      <c r="E9" s="1" t="s">
        <v>110</v>
      </c>
      <c r="F9" s="1" t="s">
        <v>112</v>
      </c>
      <c r="G9" s="1">
        <v>2</v>
      </c>
      <c r="H9" s="1">
        <v>1</v>
      </c>
      <c r="I9" s="12" t="s">
        <v>74</v>
      </c>
    </row>
    <row r="10" spans="1:9" x14ac:dyDescent="0.25">
      <c r="A10" s="11" t="s">
        <v>82</v>
      </c>
      <c r="B10" s="1" t="s">
        <v>290</v>
      </c>
      <c r="C10" s="3" t="s">
        <v>70</v>
      </c>
      <c r="D10" s="1" t="s">
        <v>71</v>
      </c>
      <c r="E10" s="1" t="s">
        <v>111</v>
      </c>
      <c r="F10" s="1" t="s">
        <v>73</v>
      </c>
      <c r="G10" s="1">
        <v>5</v>
      </c>
      <c r="H10" s="1">
        <v>1</v>
      </c>
      <c r="I10" s="12" t="s">
        <v>74</v>
      </c>
    </row>
    <row r="11" spans="1:9" x14ac:dyDescent="0.25">
      <c r="A11" s="11" t="s">
        <v>83</v>
      </c>
      <c r="B11" s="1" t="s">
        <v>291</v>
      </c>
      <c r="C11" s="3" t="s">
        <v>70</v>
      </c>
      <c r="D11" s="1" t="s">
        <v>71</v>
      </c>
      <c r="E11" s="1" t="s">
        <v>72</v>
      </c>
      <c r="F11" s="1" t="s">
        <v>73</v>
      </c>
      <c r="G11" s="1">
        <v>4</v>
      </c>
      <c r="H11" s="1">
        <v>1</v>
      </c>
      <c r="I11" s="12" t="s">
        <v>74</v>
      </c>
    </row>
    <row r="12" spans="1:9" x14ac:dyDescent="0.25">
      <c r="A12" s="11" t="s">
        <v>84</v>
      </c>
      <c r="B12" s="1" t="s">
        <v>292</v>
      </c>
      <c r="C12" s="3" t="s">
        <v>70</v>
      </c>
      <c r="D12" s="1" t="s">
        <v>71</v>
      </c>
      <c r="E12" s="1" t="s">
        <v>72</v>
      </c>
      <c r="F12" s="1" t="s">
        <v>73</v>
      </c>
      <c r="G12" s="1">
        <v>5</v>
      </c>
      <c r="H12" s="1">
        <v>1</v>
      </c>
      <c r="I12" s="12" t="s">
        <v>74</v>
      </c>
    </row>
    <row r="13" spans="1:9" x14ac:dyDescent="0.25">
      <c r="A13" s="11" t="s">
        <v>85</v>
      </c>
      <c r="B13" s="1" t="s">
        <v>293</v>
      </c>
      <c r="C13" s="3" t="s">
        <v>70</v>
      </c>
      <c r="D13" s="1" t="s">
        <v>71</v>
      </c>
      <c r="E13" s="1" t="s">
        <v>110</v>
      </c>
      <c r="F13" s="1" t="s">
        <v>73</v>
      </c>
      <c r="G13" s="1">
        <v>2</v>
      </c>
      <c r="H13" s="1">
        <v>1</v>
      </c>
      <c r="I13" s="12" t="s">
        <v>74</v>
      </c>
    </row>
    <row r="14" spans="1:9" x14ac:dyDescent="0.25">
      <c r="A14" s="11" t="s">
        <v>86</v>
      </c>
      <c r="B14" s="1" t="s">
        <v>294</v>
      </c>
      <c r="C14" s="3" t="s">
        <v>70</v>
      </c>
      <c r="D14" s="1" t="s">
        <v>71</v>
      </c>
      <c r="E14" s="1" t="s">
        <v>111</v>
      </c>
      <c r="F14" s="1" t="s">
        <v>112</v>
      </c>
      <c r="G14" s="1">
        <v>2</v>
      </c>
      <c r="H14" s="1">
        <v>1</v>
      </c>
      <c r="I14" s="12" t="s">
        <v>74</v>
      </c>
    </row>
    <row r="15" spans="1:9" x14ac:dyDescent="0.25">
      <c r="A15" s="11" t="s">
        <v>87</v>
      </c>
      <c r="B15" s="1" t="s">
        <v>295</v>
      </c>
      <c r="C15" s="3" t="s">
        <v>70</v>
      </c>
      <c r="D15" s="1" t="s">
        <v>108</v>
      </c>
      <c r="E15" s="1" t="s">
        <v>109</v>
      </c>
      <c r="F15" s="1" t="s">
        <v>73</v>
      </c>
      <c r="G15" s="1">
        <v>8</v>
      </c>
      <c r="H15" s="1">
        <v>1</v>
      </c>
      <c r="I15" s="12" t="s">
        <v>74</v>
      </c>
    </row>
    <row r="16" spans="1:9" x14ac:dyDescent="0.25">
      <c r="A16" s="11" t="s">
        <v>88</v>
      </c>
      <c r="B16" s="1" t="s">
        <v>296</v>
      </c>
      <c r="C16" s="3" t="s">
        <v>70</v>
      </c>
      <c r="D16" s="1" t="s">
        <v>71</v>
      </c>
      <c r="E16" s="1" t="s">
        <v>72</v>
      </c>
      <c r="F16" s="1" t="s">
        <v>73</v>
      </c>
      <c r="G16" s="1">
        <v>5</v>
      </c>
      <c r="H16" s="1">
        <v>2</v>
      </c>
      <c r="I16" s="12" t="s">
        <v>74</v>
      </c>
    </row>
    <row r="17" spans="1:9" x14ac:dyDescent="0.25">
      <c r="A17" s="11" t="s">
        <v>89</v>
      </c>
      <c r="B17" s="1" t="s">
        <v>297</v>
      </c>
      <c r="C17" s="3" t="s">
        <v>70</v>
      </c>
      <c r="D17" s="1" t="s">
        <v>108</v>
      </c>
      <c r="E17" s="1" t="s">
        <v>110</v>
      </c>
      <c r="F17" s="1" t="s">
        <v>73</v>
      </c>
      <c r="G17" s="1">
        <v>8</v>
      </c>
      <c r="H17" s="1">
        <v>1</v>
      </c>
      <c r="I17" s="12" t="s">
        <v>74</v>
      </c>
    </row>
    <row r="18" spans="1:9" x14ac:dyDescent="0.25">
      <c r="A18" s="11" t="s">
        <v>90</v>
      </c>
      <c r="B18" s="1" t="s">
        <v>298</v>
      </c>
      <c r="C18" s="3" t="s">
        <v>70</v>
      </c>
      <c r="D18" s="1" t="s">
        <v>71</v>
      </c>
      <c r="E18" s="1" t="s">
        <v>111</v>
      </c>
      <c r="F18" s="1" t="s">
        <v>73</v>
      </c>
      <c r="G18" s="1">
        <v>5</v>
      </c>
      <c r="H18" s="1">
        <v>1</v>
      </c>
      <c r="I18" s="12" t="s">
        <v>74</v>
      </c>
    </row>
    <row r="19" spans="1:9" x14ac:dyDescent="0.25">
      <c r="A19" s="11" t="s">
        <v>91</v>
      </c>
      <c r="B19" s="1" t="s">
        <v>299</v>
      </c>
      <c r="C19" s="3" t="s">
        <v>70</v>
      </c>
      <c r="D19" s="1" t="s">
        <v>108</v>
      </c>
      <c r="E19" s="1" t="s">
        <v>109</v>
      </c>
      <c r="F19" s="1" t="s">
        <v>73</v>
      </c>
      <c r="G19" s="1">
        <v>9</v>
      </c>
      <c r="H19" s="1">
        <v>1</v>
      </c>
      <c r="I19" s="12" t="s">
        <v>74</v>
      </c>
    </row>
    <row r="20" spans="1:9" x14ac:dyDescent="0.25">
      <c r="A20" s="11" t="s">
        <v>92</v>
      </c>
      <c r="B20" s="1" t="s">
        <v>300</v>
      </c>
      <c r="C20" s="3" t="s">
        <v>70</v>
      </c>
      <c r="D20" s="1" t="s">
        <v>71</v>
      </c>
      <c r="E20" s="1" t="s">
        <v>72</v>
      </c>
      <c r="F20" s="1" t="s">
        <v>73</v>
      </c>
      <c r="G20" s="1">
        <v>3</v>
      </c>
      <c r="H20" s="1">
        <v>1</v>
      </c>
      <c r="I20" s="12" t="s">
        <v>74</v>
      </c>
    </row>
    <row r="21" spans="1:9" x14ac:dyDescent="0.25">
      <c r="A21" s="11" t="s">
        <v>93</v>
      </c>
      <c r="B21" s="1" t="s">
        <v>301</v>
      </c>
      <c r="C21" s="3" t="s">
        <v>70</v>
      </c>
      <c r="D21" s="1" t="s">
        <v>71</v>
      </c>
      <c r="E21" s="1" t="s">
        <v>110</v>
      </c>
      <c r="F21" s="1" t="s">
        <v>73</v>
      </c>
      <c r="G21" s="1">
        <v>5</v>
      </c>
      <c r="H21" s="1">
        <v>1</v>
      </c>
      <c r="I21" s="12" t="s">
        <v>74</v>
      </c>
    </row>
    <row r="22" spans="1:9" x14ac:dyDescent="0.25">
      <c r="A22" s="11" t="s">
        <v>94</v>
      </c>
      <c r="B22" s="1" t="s">
        <v>302</v>
      </c>
      <c r="C22" s="3" t="s">
        <v>70</v>
      </c>
      <c r="D22" s="1" t="s">
        <v>108</v>
      </c>
      <c r="E22" s="1" t="s">
        <v>111</v>
      </c>
      <c r="F22" s="1" t="s">
        <v>73</v>
      </c>
      <c r="G22" s="1">
        <v>5</v>
      </c>
      <c r="H22" s="1">
        <v>1</v>
      </c>
      <c r="I22" s="12" t="s">
        <v>74</v>
      </c>
    </row>
    <row r="23" spans="1:9" x14ac:dyDescent="0.25">
      <c r="A23" s="11" t="s">
        <v>95</v>
      </c>
      <c r="B23" s="1" t="s">
        <v>303</v>
      </c>
      <c r="C23" s="3" t="s">
        <v>70</v>
      </c>
      <c r="D23" s="1" t="s">
        <v>71</v>
      </c>
      <c r="E23" s="1" t="s">
        <v>109</v>
      </c>
      <c r="F23" s="1" t="s">
        <v>73</v>
      </c>
      <c r="G23" s="1">
        <v>5</v>
      </c>
      <c r="H23" s="1">
        <v>1</v>
      </c>
      <c r="I23" s="12" t="s">
        <v>74</v>
      </c>
    </row>
    <row r="24" spans="1:9" x14ac:dyDescent="0.25">
      <c r="A24" s="11" t="s">
        <v>96</v>
      </c>
      <c r="B24" s="1" t="s">
        <v>304</v>
      </c>
      <c r="C24" s="3" t="s">
        <v>70</v>
      </c>
      <c r="D24" s="1" t="s">
        <v>108</v>
      </c>
      <c r="E24" s="1" t="s">
        <v>72</v>
      </c>
      <c r="F24" s="1" t="s">
        <v>73</v>
      </c>
      <c r="G24" s="1">
        <v>5</v>
      </c>
      <c r="H24" s="1">
        <v>1</v>
      </c>
      <c r="I24" s="12" t="s">
        <v>74</v>
      </c>
    </row>
    <row r="25" spans="1:9" x14ac:dyDescent="0.25">
      <c r="A25" s="11" t="s">
        <v>97</v>
      </c>
      <c r="B25" s="1" t="s">
        <v>305</v>
      </c>
      <c r="C25" s="3" t="s">
        <v>70</v>
      </c>
      <c r="D25" s="1" t="s">
        <v>71</v>
      </c>
      <c r="E25" s="1" t="s">
        <v>110</v>
      </c>
      <c r="F25" s="1" t="s">
        <v>73</v>
      </c>
      <c r="G25" s="1">
        <v>7</v>
      </c>
      <c r="H25" s="1">
        <v>2</v>
      </c>
      <c r="I25" s="12" t="s">
        <v>74</v>
      </c>
    </row>
    <row r="26" spans="1:9" x14ac:dyDescent="0.25">
      <c r="A26" s="11" t="s">
        <v>98</v>
      </c>
      <c r="B26" s="1" t="s">
        <v>306</v>
      </c>
      <c r="C26" s="3" t="s">
        <v>70</v>
      </c>
      <c r="D26" s="1" t="s">
        <v>108</v>
      </c>
      <c r="E26" s="1" t="s">
        <v>111</v>
      </c>
      <c r="F26" s="1" t="s">
        <v>73</v>
      </c>
      <c r="G26" s="1">
        <v>1</v>
      </c>
      <c r="H26" s="1">
        <v>1</v>
      </c>
      <c r="I26" s="12" t="s">
        <v>74</v>
      </c>
    </row>
    <row r="27" spans="1:9" x14ac:dyDescent="0.25">
      <c r="A27" s="11" t="s">
        <v>99</v>
      </c>
      <c r="B27" s="1" t="s">
        <v>307</v>
      </c>
      <c r="C27" s="3" t="s">
        <v>70</v>
      </c>
      <c r="D27" s="1" t="s">
        <v>71</v>
      </c>
      <c r="E27" s="1" t="s">
        <v>109</v>
      </c>
      <c r="F27" s="1" t="s">
        <v>73</v>
      </c>
      <c r="G27" s="1">
        <v>5</v>
      </c>
      <c r="H27" s="1">
        <v>1</v>
      </c>
      <c r="I27" s="12" t="s">
        <v>74</v>
      </c>
    </row>
    <row r="28" spans="1:9" x14ac:dyDescent="0.25">
      <c r="A28" s="11" t="s">
        <v>100</v>
      </c>
      <c r="B28" s="1" t="s">
        <v>308</v>
      </c>
      <c r="C28" s="3" t="s">
        <v>70</v>
      </c>
      <c r="D28" s="1" t="s">
        <v>108</v>
      </c>
      <c r="E28" s="1" t="s">
        <v>72</v>
      </c>
      <c r="F28" s="1" t="s">
        <v>73</v>
      </c>
      <c r="G28" s="1">
        <v>5</v>
      </c>
      <c r="H28" s="1">
        <v>1</v>
      </c>
      <c r="I28" s="12" t="s">
        <v>74</v>
      </c>
    </row>
    <row r="29" spans="1:9" x14ac:dyDescent="0.25">
      <c r="A29" s="11" t="s">
        <v>101</v>
      </c>
      <c r="B29" s="1" t="s">
        <v>309</v>
      </c>
      <c r="C29" s="3" t="s">
        <v>70</v>
      </c>
      <c r="D29" s="1" t="s">
        <v>71</v>
      </c>
      <c r="E29" s="1" t="s">
        <v>110</v>
      </c>
      <c r="F29" s="1" t="s">
        <v>73</v>
      </c>
      <c r="G29" s="1">
        <v>0</v>
      </c>
      <c r="H29" s="1">
        <v>1</v>
      </c>
      <c r="I29" s="12" t="s">
        <v>74</v>
      </c>
    </row>
    <row r="30" spans="1:9" x14ac:dyDescent="0.25">
      <c r="A30" s="11" t="s">
        <v>102</v>
      </c>
      <c r="B30" s="1" t="s">
        <v>310</v>
      </c>
      <c r="C30" s="3" t="s">
        <v>70</v>
      </c>
      <c r="D30" s="1" t="s">
        <v>71</v>
      </c>
      <c r="E30" s="1" t="s">
        <v>111</v>
      </c>
      <c r="F30" s="1" t="s">
        <v>73</v>
      </c>
      <c r="G30" s="1">
        <v>5</v>
      </c>
      <c r="H30" s="1">
        <v>1</v>
      </c>
      <c r="I30" s="12" t="s">
        <v>74</v>
      </c>
    </row>
    <row r="31" spans="1:9" x14ac:dyDescent="0.25">
      <c r="A31" s="11" t="s">
        <v>103</v>
      </c>
      <c r="B31" s="1" t="s">
        <v>311</v>
      </c>
      <c r="C31" s="3" t="s">
        <v>70</v>
      </c>
      <c r="D31" s="1" t="s">
        <v>71</v>
      </c>
      <c r="E31" s="1" t="s">
        <v>109</v>
      </c>
      <c r="F31" s="1" t="s">
        <v>73</v>
      </c>
      <c r="G31" s="1">
        <v>2</v>
      </c>
      <c r="H31" s="1">
        <v>0</v>
      </c>
      <c r="I31" s="12" t="s">
        <v>74</v>
      </c>
    </row>
    <row r="32" spans="1:9" x14ac:dyDescent="0.25">
      <c r="A32" s="11" t="s">
        <v>104</v>
      </c>
      <c r="B32" s="1" t="s">
        <v>312</v>
      </c>
      <c r="C32" s="3" t="s">
        <v>70</v>
      </c>
      <c r="D32" s="1" t="s">
        <v>108</v>
      </c>
      <c r="E32" s="1" t="s">
        <v>72</v>
      </c>
      <c r="F32" s="1" t="s">
        <v>73</v>
      </c>
      <c r="G32" s="1">
        <v>5</v>
      </c>
      <c r="H32" s="1">
        <v>1</v>
      </c>
      <c r="I32" s="12" t="s">
        <v>74</v>
      </c>
    </row>
    <row r="33" spans="1:9" x14ac:dyDescent="0.25">
      <c r="A33" s="11" t="s">
        <v>105</v>
      </c>
      <c r="B33" s="1" t="s">
        <v>313</v>
      </c>
      <c r="C33" s="3" t="s">
        <v>70</v>
      </c>
      <c r="D33" s="1" t="s">
        <v>71</v>
      </c>
      <c r="E33" s="1" t="s">
        <v>110</v>
      </c>
      <c r="F33" s="1" t="s">
        <v>73</v>
      </c>
      <c r="G33" s="1">
        <v>5</v>
      </c>
      <c r="H33" s="1">
        <v>1</v>
      </c>
      <c r="I33" s="12" t="s">
        <v>74</v>
      </c>
    </row>
    <row r="34" spans="1:9" x14ac:dyDescent="0.25">
      <c r="A34" s="11" t="s">
        <v>106</v>
      </c>
      <c r="B34" s="1" t="s">
        <v>314</v>
      </c>
      <c r="C34" s="3" t="s">
        <v>70</v>
      </c>
      <c r="D34" s="1" t="s">
        <v>108</v>
      </c>
      <c r="E34" s="1" t="s">
        <v>111</v>
      </c>
      <c r="F34" s="1" t="s">
        <v>73</v>
      </c>
      <c r="G34" s="1">
        <v>2</v>
      </c>
      <c r="H34" s="1">
        <v>1</v>
      </c>
      <c r="I34" s="12" t="s">
        <v>74</v>
      </c>
    </row>
    <row r="35" spans="1:9" x14ac:dyDescent="0.25">
      <c r="A35" s="11" t="s">
        <v>107</v>
      </c>
      <c r="B35" s="1" t="s">
        <v>315</v>
      </c>
      <c r="C35" s="3" t="s">
        <v>70</v>
      </c>
      <c r="D35" s="1" t="s">
        <v>71</v>
      </c>
      <c r="E35" s="1" t="s">
        <v>72</v>
      </c>
      <c r="F35" s="1" t="s">
        <v>73</v>
      </c>
      <c r="G35" s="1">
        <v>5</v>
      </c>
      <c r="H35" s="1">
        <v>0</v>
      </c>
      <c r="I35" s="12" t="s">
        <v>74</v>
      </c>
    </row>
    <row r="36" spans="1:9" x14ac:dyDescent="0.25">
      <c r="A36" s="11" t="s">
        <v>152</v>
      </c>
      <c r="B36" s="1" t="s">
        <v>316</v>
      </c>
      <c r="C36" s="3" t="s">
        <v>70</v>
      </c>
      <c r="D36" s="1" t="s">
        <v>71</v>
      </c>
      <c r="E36" s="1" t="s">
        <v>72</v>
      </c>
      <c r="F36" s="1" t="s">
        <v>73</v>
      </c>
      <c r="G36" s="1">
        <v>5</v>
      </c>
      <c r="H36" s="1">
        <v>1</v>
      </c>
      <c r="I36" s="12" t="s">
        <v>74</v>
      </c>
    </row>
    <row r="37" spans="1:9" x14ac:dyDescent="0.25">
      <c r="A37" s="11" t="s">
        <v>153</v>
      </c>
      <c r="B37" s="1" t="s">
        <v>317</v>
      </c>
      <c r="C37" s="3" t="s">
        <v>70</v>
      </c>
      <c r="D37" s="1" t="s">
        <v>108</v>
      </c>
      <c r="E37" s="1" t="s">
        <v>109</v>
      </c>
      <c r="F37" s="1" t="s">
        <v>73</v>
      </c>
      <c r="G37" s="1">
        <v>4</v>
      </c>
      <c r="H37" s="1">
        <v>2</v>
      </c>
      <c r="I37" s="12" t="s">
        <v>74</v>
      </c>
    </row>
    <row r="38" spans="1:9" x14ac:dyDescent="0.25">
      <c r="A38" s="11" t="s">
        <v>154</v>
      </c>
      <c r="B38" s="1" t="s">
        <v>318</v>
      </c>
      <c r="C38" s="3" t="s">
        <v>70</v>
      </c>
      <c r="D38" s="1" t="s">
        <v>108</v>
      </c>
      <c r="E38" s="1" t="s">
        <v>72</v>
      </c>
      <c r="F38" s="1" t="s">
        <v>73</v>
      </c>
      <c r="G38" s="1">
        <v>5</v>
      </c>
      <c r="H38" s="1">
        <v>1</v>
      </c>
      <c r="I38" s="12" t="s">
        <v>74</v>
      </c>
    </row>
    <row r="39" spans="1:9" x14ac:dyDescent="0.25">
      <c r="A39" s="11" t="s">
        <v>155</v>
      </c>
      <c r="B39" s="1" t="s">
        <v>319</v>
      </c>
      <c r="C39" s="3" t="s">
        <v>70</v>
      </c>
      <c r="D39" s="1" t="s">
        <v>71</v>
      </c>
      <c r="E39" s="1" t="s">
        <v>110</v>
      </c>
      <c r="F39" s="1" t="s">
        <v>112</v>
      </c>
      <c r="G39" s="1">
        <v>4</v>
      </c>
      <c r="H39" s="1">
        <v>1</v>
      </c>
      <c r="I39" s="12" t="s">
        <v>74</v>
      </c>
    </row>
    <row r="40" spans="1:9" x14ac:dyDescent="0.25">
      <c r="A40" s="11" t="s">
        <v>156</v>
      </c>
      <c r="B40" s="1" t="s">
        <v>320</v>
      </c>
      <c r="C40" s="3" t="s">
        <v>70</v>
      </c>
      <c r="D40" s="1" t="s">
        <v>71</v>
      </c>
      <c r="E40" s="1" t="s">
        <v>111</v>
      </c>
      <c r="F40" s="1" t="s">
        <v>73</v>
      </c>
      <c r="G40" s="1">
        <v>5</v>
      </c>
      <c r="H40" s="1">
        <v>1</v>
      </c>
      <c r="I40" s="12" t="s">
        <v>74</v>
      </c>
    </row>
    <row r="41" spans="1:9" x14ac:dyDescent="0.25">
      <c r="A41" s="11" t="s">
        <v>157</v>
      </c>
      <c r="B41" s="1" t="s">
        <v>321</v>
      </c>
      <c r="C41" s="3" t="s">
        <v>70</v>
      </c>
      <c r="D41" s="1" t="s">
        <v>108</v>
      </c>
      <c r="E41" s="1" t="s">
        <v>109</v>
      </c>
      <c r="F41" s="1" t="s">
        <v>73</v>
      </c>
      <c r="G41" s="1">
        <v>5</v>
      </c>
      <c r="H41" s="1">
        <v>1</v>
      </c>
      <c r="I41" s="12" t="s">
        <v>74</v>
      </c>
    </row>
    <row r="42" spans="1:9" x14ac:dyDescent="0.25">
      <c r="A42" s="11" t="s">
        <v>158</v>
      </c>
      <c r="B42" s="1" t="s">
        <v>322</v>
      </c>
      <c r="C42" s="3" t="s">
        <v>70</v>
      </c>
      <c r="D42" s="1" t="s">
        <v>71</v>
      </c>
      <c r="E42" s="1" t="s">
        <v>72</v>
      </c>
      <c r="F42" s="1" t="s">
        <v>73</v>
      </c>
      <c r="G42" s="1">
        <v>6</v>
      </c>
      <c r="H42" s="1">
        <v>1</v>
      </c>
      <c r="I42" s="12" t="s">
        <v>74</v>
      </c>
    </row>
    <row r="43" spans="1:9" x14ac:dyDescent="0.25">
      <c r="A43" s="11" t="s">
        <v>159</v>
      </c>
      <c r="B43" s="1" t="s">
        <v>323</v>
      </c>
      <c r="C43" s="3" t="s">
        <v>70</v>
      </c>
      <c r="D43" s="1" t="s">
        <v>108</v>
      </c>
      <c r="E43" s="1" t="s">
        <v>110</v>
      </c>
      <c r="F43" s="1" t="s">
        <v>112</v>
      </c>
      <c r="G43" s="1">
        <v>5</v>
      </c>
      <c r="H43" s="1">
        <v>1</v>
      </c>
      <c r="I43" s="12" t="s">
        <v>74</v>
      </c>
    </row>
    <row r="44" spans="1:9" x14ac:dyDescent="0.25">
      <c r="A44" s="11" t="s">
        <v>160</v>
      </c>
      <c r="B44" s="1" t="s">
        <v>324</v>
      </c>
      <c r="C44" s="3" t="s">
        <v>70</v>
      </c>
      <c r="D44" s="1" t="s">
        <v>71</v>
      </c>
      <c r="E44" s="1" t="s">
        <v>111</v>
      </c>
      <c r="F44" s="1" t="s">
        <v>73</v>
      </c>
      <c r="G44" s="1">
        <v>5</v>
      </c>
      <c r="H44" s="1">
        <v>1</v>
      </c>
      <c r="I44" s="12" t="s">
        <v>74</v>
      </c>
    </row>
    <row r="45" spans="1:9" x14ac:dyDescent="0.25">
      <c r="A45" s="11" t="s">
        <v>161</v>
      </c>
      <c r="B45" s="1" t="s">
        <v>325</v>
      </c>
      <c r="C45" s="3" t="s">
        <v>70</v>
      </c>
      <c r="D45" s="1" t="s">
        <v>71</v>
      </c>
      <c r="E45" s="1" t="s">
        <v>72</v>
      </c>
      <c r="F45" s="1" t="s">
        <v>73</v>
      </c>
      <c r="G45" s="1">
        <v>4</v>
      </c>
      <c r="H45" s="1">
        <v>1</v>
      </c>
      <c r="I45" s="12" t="s">
        <v>74</v>
      </c>
    </row>
    <row r="46" spans="1:9" x14ac:dyDescent="0.25">
      <c r="A46" s="11" t="s">
        <v>162</v>
      </c>
      <c r="B46" s="1" t="s">
        <v>326</v>
      </c>
      <c r="C46" s="3" t="s">
        <v>70</v>
      </c>
      <c r="D46" s="1" t="s">
        <v>71</v>
      </c>
      <c r="E46" s="1" t="s">
        <v>72</v>
      </c>
      <c r="F46" s="1" t="s">
        <v>73</v>
      </c>
      <c r="G46" s="1">
        <v>5</v>
      </c>
      <c r="H46" s="1">
        <v>1</v>
      </c>
      <c r="I46" s="12" t="s">
        <v>74</v>
      </c>
    </row>
    <row r="47" spans="1:9" x14ac:dyDescent="0.25">
      <c r="A47" s="11" t="s">
        <v>163</v>
      </c>
      <c r="B47" s="1" t="s">
        <v>327</v>
      </c>
      <c r="C47" s="3" t="s">
        <v>70</v>
      </c>
      <c r="D47" s="1" t="s">
        <v>71</v>
      </c>
      <c r="E47" s="1" t="s">
        <v>110</v>
      </c>
      <c r="F47" s="1" t="s">
        <v>73</v>
      </c>
      <c r="G47" s="1">
        <v>3</v>
      </c>
      <c r="H47" s="1">
        <v>1</v>
      </c>
      <c r="I47" s="12" t="s">
        <v>74</v>
      </c>
    </row>
    <row r="48" spans="1:9" x14ac:dyDescent="0.25">
      <c r="A48" s="11" t="s">
        <v>164</v>
      </c>
      <c r="B48" s="1" t="s">
        <v>328</v>
      </c>
      <c r="C48" s="3" t="s">
        <v>70</v>
      </c>
      <c r="D48" s="1" t="s">
        <v>71</v>
      </c>
      <c r="E48" s="1" t="s">
        <v>111</v>
      </c>
      <c r="F48" s="1" t="s">
        <v>112</v>
      </c>
      <c r="G48" s="1">
        <v>2</v>
      </c>
      <c r="H48" s="1">
        <v>1</v>
      </c>
      <c r="I48" s="12" t="s">
        <v>74</v>
      </c>
    </row>
    <row r="49" spans="1:9" x14ac:dyDescent="0.25">
      <c r="A49" s="11" t="s">
        <v>165</v>
      </c>
      <c r="B49" s="1" t="s">
        <v>329</v>
      </c>
      <c r="C49" s="3" t="s">
        <v>70</v>
      </c>
      <c r="D49" s="1" t="s">
        <v>108</v>
      </c>
      <c r="E49" s="1" t="s">
        <v>109</v>
      </c>
      <c r="F49" s="1" t="s">
        <v>73</v>
      </c>
      <c r="G49" s="1">
        <v>5</v>
      </c>
      <c r="H49" s="1">
        <v>1</v>
      </c>
      <c r="I49" s="12" t="s">
        <v>74</v>
      </c>
    </row>
    <row r="50" spans="1:9" x14ac:dyDescent="0.25">
      <c r="A50" s="11" t="s">
        <v>166</v>
      </c>
      <c r="B50" s="1" t="s">
        <v>330</v>
      </c>
      <c r="C50" s="3" t="s">
        <v>70</v>
      </c>
      <c r="D50" s="1" t="s">
        <v>71</v>
      </c>
      <c r="E50" s="1" t="s">
        <v>72</v>
      </c>
      <c r="F50" s="1" t="s">
        <v>73</v>
      </c>
      <c r="G50" s="1">
        <v>5</v>
      </c>
      <c r="H50" s="1">
        <v>2</v>
      </c>
      <c r="I50" s="12" t="s">
        <v>74</v>
      </c>
    </row>
    <row r="51" spans="1:9" x14ac:dyDescent="0.25">
      <c r="A51" s="11" t="s">
        <v>167</v>
      </c>
      <c r="B51" s="1" t="s">
        <v>331</v>
      </c>
      <c r="C51" s="3" t="s">
        <v>70</v>
      </c>
      <c r="D51" s="1" t="s">
        <v>108</v>
      </c>
      <c r="E51" s="1" t="s">
        <v>110</v>
      </c>
      <c r="F51" s="1" t="s">
        <v>73</v>
      </c>
      <c r="G51" s="1">
        <v>8</v>
      </c>
      <c r="H51" s="1">
        <v>1</v>
      </c>
      <c r="I51" s="12" t="s">
        <v>74</v>
      </c>
    </row>
    <row r="52" spans="1:9" x14ac:dyDescent="0.25">
      <c r="A52" s="11" t="s">
        <v>168</v>
      </c>
      <c r="B52" s="1" t="s">
        <v>332</v>
      </c>
      <c r="C52" s="3" t="s">
        <v>70</v>
      </c>
      <c r="D52" s="1" t="s">
        <v>71</v>
      </c>
      <c r="E52" s="1" t="s">
        <v>111</v>
      </c>
      <c r="F52" s="1" t="s">
        <v>73</v>
      </c>
      <c r="G52" s="1">
        <v>5</v>
      </c>
      <c r="H52" s="1">
        <v>1</v>
      </c>
      <c r="I52" s="12" t="s">
        <v>74</v>
      </c>
    </row>
    <row r="53" spans="1:9" x14ac:dyDescent="0.25">
      <c r="A53" s="11" t="s">
        <v>169</v>
      </c>
      <c r="B53" s="1" t="s">
        <v>333</v>
      </c>
      <c r="C53" s="3" t="s">
        <v>70</v>
      </c>
      <c r="D53" s="1" t="s">
        <v>108</v>
      </c>
      <c r="E53" s="1" t="s">
        <v>109</v>
      </c>
      <c r="F53" s="1" t="s">
        <v>73</v>
      </c>
      <c r="G53" s="1">
        <v>5</v>
      </c>
      <c r="H53" s="1">
        <v>1</v>
      </c>
      <c r="I53" s="12" t="s">
        <v>74</v>
      </c>
    </row>
    <row r="54" spans="1:9" x14ac:dyDescent="0.25">
      <c r="A54" s="11" t="s">
        <v>170</v>
      </c>
      <c r="B54" s="1" t="s">
        <v>334</v>
      </c>
      <c r="C54" s="3" t="s">
        <v>70</v>
      </c>
      <c r="D54" s="1" t="s">
        <v>71</v>
      </c>
      <c r="E54" s="1" t="s">
        <v>72</v>
      </c>
      <c r="F54" s="1" t="s">
        <v>73</v>
      </c>
      <c r="G54" s="1">
        <v>3</v>
      </c>
      <c r="H54" s="1">
        <v>1</v>
      </c>
      <c r="I54" s="12" t="s">
        <v>74</v>
      </c>
    </row>
    <row r="55" spans="1:9" x14ac:dyDescent="0.25">
      <c r="A55" s="11" t="s">
        <v>171</v>
      </c>
      <c r="B55" s="1" t="s">
        <v>335</v>
      </c>
      <c r="C55" s="3" t="s">
        <v>70</v>
      </c>
      <c r="D55" s="1" t="s">
        <v>71</v>
      </c>
      <c r="E55" s="1" t="s">
        <v>110</v>
      </c>
      <c r="F55" s="1" t="s">
        <v>73</v>
      </c>
      <c r="G55" s="1">
        <v>5</v>
      </c>
      <c r="H55" s="1">
        <v>1</v>
      </c>
      <c r="I55" s="12" t="s">
        <v>74</v>
      </c>
    </row>
    <row r="56" spans="1:9" x14ac:dyDescent="0.25">
      <c r="A56" s="11" t="s">
        <v>172</v>
      </c>
      <c r="B56" s="1" t="s">
        <v>336</v>
      </c>
      <c r="C56" s="3" t="s">
        <v>70</v>
      </c>
      <c r="D56" s="1" t="s">
        <v>108</v>
      </c>
      <c r="E56" s="1" t="s">
        <v>111</v>
      </c>
      <c r="F56" s="1" t="s">
        <v>73</v>
      </c>
      <c r="G56" s="1">
        <v>5</v>
      </c>
      <c r="H56" s="1">
        <v>1</v>
      </c>
      <c r="I56" s="12" t="s">
        <v>74</v>
      </c>
    </row>
    <row r="57" spans="1:9" x14ac:dyDescent="0.25">
      <c r="A57" s="11" t="s">
        <v>173</v>
      </c>
      <c r="B57" s="1" t="s">
        <v>337</v>
      </c>
      <c r="C57" s="3" t="s">
        <v>70</v>
      </c>
      <c r="D57" s="1" t="s">
        <v>71</v>
      </c>
      <c r="E57" s="1" t="s">
        <v>109</v>
      </c>
      <c r="F57" s="1" t="s">
        <v>73</v>
      </c>
      <c r="G57" s="1">
        <v>5</v>
      </c>
      <c r="H57" s="1">
        <v>1</v>
      </c>
      <c r="I57" s="12" t="s">
        <v>74</v>
      </c>
    </row>
    <row r="58" spans="1:9" x14ac:dyDescent="0.25">
      <c r="A58" s="11" t="s">
        <v>174</v>
      </c>
      <c r="B58" s="1" t="s">
        <v>338</v>
      </c>
      <c r="C58" s="3" t="s">
        <v>70</v>
      </c>
      <c r="D58" s="1" t="s">
        <v>108</v>
      </c>
      <c r="E58" s="1" t="s">
        <v>72</v>
      </c>
      <c r="F58" s="1" t="s">
        <v>73</v>
      </c>
      <c r="G58" s="1">
        <v>5</v>
      </c>
      <c r="H58" s="1">
        <v>1</v>
      </c>
      <c r="I58" s="12" t="s">
        <v>74</v>
      </c>
    </row>
    <row r="59" spans="1:9" x14ac:dyDescent="0.25">
      <c r="A59" s="11" t="s">
        <v>175</v>
      </c>
      <c r="B59" s="1" t="s">
        <v>339</v>
      </c>
      <c r="C59" s="3" t="s">
        <v>70</v>
      </c>
      <c r="D59" s="1" t="s">
        <v>71</v>
      </c>
      <c r="E59" s="1" t="s">
        <v>110</v>
      </c>
      <c r="F59" s="1" t="s">
        <v>73</v>
      </c>
      <c r="G59" s="1">
        <v>7</v>
      </c>
      <c r="H59" s="1">
        <v>2</v>
      </c>
      <c r="I59" s="12" t="s">
        <v>74</v>
      </c>
    </row>
    <row r="60" spans="1:9" x14ac:dyDescent="0.25">
      <c r="A60" s="11" t="s">
        <v>176</v>
      </c>
      <c r="B60" s="1" t="s">
        <v>340</v>
      </c>
      <c r="C60" s="3" t="s">
        <v>70</v>
      </c>
      <c r="D60" s="1" t="s">
        <v>108</v>
      </c>
      <c r="E60" s="1" t="s">
        <v>111</v>
      </c>
      <c r="F60" s="1" t="s">
        <v>73</v>
      </c>
      <c r="G60" s="1">
        <v>1</v>
      </c>
      <c r="H60" s="1">
        <v>1</v>
      </c>
      <c r="I60" s="12" t="s">
        <v>74</v>
      </c>
    </row>
    <row r="61" spans="1:9" x14ac:dyDescent="0.25">
      <c r="A61" s="11" t="s">
        <v>177</v>
      </c>
      <c r="B61" s="1" t="s">
        <v>341</v>
      </c>
      <c r="C61" s="3" t="s">
        <v>70</v>
      </c>
      <c r="D61" s="1" t="s">
        <v>71</v>
      </c>
      <c r="E61" s="1" t="s">
        <v>109</v>
      </c>
      <c r="F61" s="1" t="s">
        <v>73</v>
      </c>
      <c r="G61" s="1">
        <v>3</v>
      </c>
      <c r="H61" s="1">
        <v>1</v>
      </c>
      <c r="I61" s="12" t="s">
        <v>74</v>
      </c>
    </row>
    <row r="62" spans="1:9" x14ac:dyDescent="0.25">
      <c r="A62" s="11" t="s">
        <v>178</v>
      </c>
      <c r="B62" s="1" t="s">
        <v>342</v>
      </c>
      <c r="C62" s="3" t="s">
        <v>70</v>
      </c>
      <c r="D62" s="1" t="s">
        <v>108</v>
      </c>
      <c r="E62" s="1" t="s">
        <v>72</v>
      </c>
      <c r="F62" s="1" t="s">
        <v>73</v>
      </c>
      <c r="G62" s="1">
        <v>5</v>
      </c>
      <c r="H62" s="1">
        <v>1</v>
      </c>
      <c r="I62" s="12" t="s">
        <v>74</v>
      </c>
    </row>
    <row r="63" spans="1:9" x14ac:dyDescent="0.25">
      <c r="A63" s="11" t="s">
        <v>179</v>
      </c>
      <c r="B63" s="1" t="s">
        <v>343</v>
      </c>
      <c r="C63" s="3" t="s">
        <v>70</v>
      </c>
      <c r="D63" s="1" t="s">
        <v>71</v>
      </c>
      <c r="E63" s="1" t="s">
        <v>110</v>
      </c>
      <c r="F63" s="1" t="s">
        <v>73</v>
      </c>
      <c r="G63" s="1">
        <v>0</v>
      </c>
      <c r="H63" s="1">
        <v>1</v>
      </c>
      <c r="I63" s="12" t="s">
        <v>74</v>
      </c>
    </row>
    <row r="64" spans="1:9" x14ac:dyDescent="0.25">
      <c r="A64" s="11" t="s">
        <v>180</v>
      </c>
      <c r="B64" s="1" t="s">
        <v>344</v>
      </c>
      <c r="C64" s="3" t="s">
        <v>70</v>
      </c>
      <c r="D64" s="1" t="s">
        <v>71</v>
      </c>
      <c r="E64" s="1" t="s">
        <v>111</v>
      </c>
      <c r="F64" s="1" t="s">
        <v>73</v>
      </c>
      <c r="G64" s="1">
        <v>5</v>
      </c>
      <c r="H64" s="1">
        <v>1</v>
      </c>
      <c r="I64" s="12" t="s">
        <v>74</v>
      </c>
    </row>
    <row r="65" spans="1:9" x14ac:dyDescent="0.25">
      <c r="A65" s="11" t="s">
        <v>181</v>
      </c>
      <c r="B65" s="1" t="s">
        <v>345</v>
      </c>
      <c r="C65" s="3" t="s">
        <v>70</v>
      </c>
      <c r="D65" s="1" t="s">
        <v>71</v>
      </c>
      <c r="E65" s="1" t="s">
        <v>109</v>
      </c>
      <c r="F65" s="1" t="s">
        <v>73</v>
      </c>
      <c r="G65" s="1">
        <v>2</v>
      </c>
      <c r="H65" s="1">
        <v>0</v>
      </c>
      <c r="I65" s="12" t="s">
        <v>74</v>
      </c>
    </row>
    <row r="66" spans="1:9" x14ac:dyDescent="0.25">
      <c r="A66" s="11" t="s">
        <v>182</v>
      </c>
      <c r="B66" s="1" t="s">
        <v>346</v>
      </c>
      <c r="C66" s="3" t="s">
        <v>70</v>
      </c>
      <c r="D66" s="1" t="s">
        <v>108</v>
      </c>
      <c r="E66" s="1" t="s">
        <v>72</v>
      </c>
      <c r="F66" s="1" t="s">
        <v>73</v>
      </c>
      <c r="G66" s="1">
        <v>5</v>
      </c>
      <c r="H66" s="1">
        <v>1</v>
      </c>
      <c r="I66" s="12" t="s">
        <v>74</v>
      </c>
    </row>
    <row r="67" spans="1:9" x14ac:dyDescent="0.25">
      <c r="A67" s="11" t="s">
        <v>183</v>
      </c>
      <c r="B67" s="1" t="s">
        <v>347</v>
      </c>
      <c r="C67" s="3" t="s">
        <v>70</v>
      </c>
      <c r="D67" s="1" t="s">
        <v>71</v>
      </c>
      <c r="E67" s="1" t="s">
        <v>110</v>
      </c>
      <c r="F67" s="1" t="s">
        <v>73</v>
      </c>
      <c r="G67" s="1">
        <v>5</v>
      </c>
      <c r="H67" s="1">
        <v>1</v>
      </c>
      <c r="I67" s="12" t="s">
        <v>74</v>
      </c>
    </row>
    <row r="68" spans="1:9" x14ac:dyDescent="0.25">
      <c r="A68" s="11" t="s">
        <v>184</v>
      </c>
      <c r="B68" s="1" t="s">
        <v>348</v>
      </c>
      <c r="C68" s="3" t="s">
        <v>70</v>
      </c>
      <c r="D68" s="1" t="s">
        <v>108</v>
      </c>
      <c r="E68" s="1" t="s">
        <v>111</v>
      </c>
      <c r="F68" s="1" t="s">
        <v>73</v>
      </c>
      <c r="G68" s="1">
        <v>2</v>
      </c>
      <c r="H68" s="1">
        <v>1</v>
      </c>
      <c r="I68" s="12" t="s">
        <v>74</v>
      </c>
    </row>
    <row r="69" spans="1:9" x14ac:dyDescent="0.25">
      <c r="A69" s="11" t="s">
        <v>185</v>
      </c>
      <c r="B69" s="1" t="s">
        <v>349</v>
      </c>
      <c r="C69" s="3" t="s">
        <v>70</v>
      </c>
      <c r="D69" s="1" t="s">
        <v>71</v>
      </c>
      <c r="E69" s="1" t="s">
        <v>72</v>
      </c>
      <c r="F69" s="1" t="s">
        <v>73</v>
      </c>
      <c r="G69" s="1">
        <v>5</v>
      </c>
      <c r="H69" s="1">
        <v>0</v>
      </c>
      <c r="I69" s="12" t="s">
        <v>74</v>
      </c>
    </row>
    <row r="70" spans="1:9" x14ac:dyDescent="0.25">
      <c r="A70" s="11" t="s">
        <v>355</v>
      </c>
      <c r="B70" s="1" t="s">
        <v>356</v>
      </c>
      <c r="C70" s="3" t="s">
        <v>70</v>
      </c>
      <c r="D70" s="1" t="s">
        <v>71</v>
      </c>
      <c r="E70" s="1" t="s">
        <v>72</v>
      </c>
      <c r="F70" s="1" t="s">
        <v>73</v>
      </c>
      <c r="G70" s="1">
        <v>5</v>
      </c>
      <c r="H70" s="1">
        <v>0</v>
      </c>
      <c r="I70" s="12" t="s">
        <v>74</v>
      </c>
    </row>
    <row r="71" spans="1:9" x14ac:dyDescent="0.25">
      <c r="A71" s="16" t="s">
        <v>370</v>
      </c>
      <c r="B71" s="6" t="s">
        <v>368</v>
      </c>
      <c r="C71" s="9" t="s">
        <v>70</v>
      </c>
      <c r="D71" s="6" t="s">
        <v>108</v>
      </c>
      <c r="E71" s="6" t="s">
        <v>369</v>
      </c>
      <c r="F71" s="6" t="s">
        <v>73</v>
      </c>
      <c r="G71" s="6">
        <v>4</v>
      </c>
      <c r="H71" s="6">
        <v>0</v>
      </c>
      <c r="I71" s="17" t="s">
        <v>74</v>
      </c>
    </row>
    <row r="72" spans="1:9" x14ac:dyDescent="0.25">
      <c r="A72" s="16" t="s">
        <v>395</v>
      </c>
      <c r="B72" s="6" t="s">
        <v>396</v>
      </c>
      <c r="C72" s="9" t="s">
        <v>397</v>
      </c>
      <c r="D72" s="6" t="s">
        <v>71</v>
      </c>
      <c r="E72" s="6" t="s">
        <v>398</v>
      </c>
      <c r="F72" s="6" t="s">
        <v>112</v>
      </c>
      <c r="G72" s="6">
        <v>5</v>
      </c>
      <c r="H72" s="6">
        <v>2</v>
      </c>
      <c r="I72" s="17" t="s">
        <v>74</v>
      </c>
    </row>
    <row r="73" spans="1:9" x14ac:dyDescent="0.25">
      <c r="A73" s="16" t="s">
        <v>404</v>
      </c>
      <c r="B73" s="6" t="s">
        <v>405</v>
      </c>
      <c r="C73" s="9" t="s">
        <v>406</v>
      </c>
      <c r="D73" s="6" t="s">
        <v>71</v>
      </c>
      <c r="E73" s="6" t="s">
        <v>398</v>
      </c>
      <c r="F73" s="6" t="s">
        <v>73</v>
      </c>
      <c r="G73" s="6">
        <v>9</v>
      </c>
      <c r="H73" s="6">
        <v>2</v>
      </c>
      <c r="I73" s="17" t="s">
        <v>407</v>
      </c>
    </row>
    <row r="74" spans="1:9" x14ac:dyDescent="0.25">
      <c r="A74" s="16" t="s">
        <v>408</v>
      </c>
      <c r="B74" s="6" t="s">
        <v>409</v>
      </c>
      <c r="C74" s="9" t="s">
        <v>410</v>
      </c>
      <c r="D74" s="6" t="s">
        <v>71</v>
      </c>
      <c r="E74" s="6" t="s">
        <v>398</v>
      </c>
      <c r="F74" s="6" t="s">
        <v>112</v>
      </c>
      <c r="G74" s="6">
        <v>7</v>
      </c>
      <c r="H74" s="6">
        <v>2</v>
      </c>
      <c r="I74" s="17" t="s">
        <v>407</v>
      </c>
    </row>
    <row r="75" spans="1:9" x14ac:dyDescent="0.25">
      <c r="A75" s="16" t="s">
        <v>414</v>
      </c>
      <c r="B75" s="1" t="s">
        <v>416</v>
      </c>
      <c r="C75" s="3" t="s">
        <v>417</v>
      </c>
      <c r="D75" s="1" t="s">
        <v>108</v>
      </c>
      <c r="E75" s="1" t="s">
        <v>398</v>
      </c>
      <c r="F75" s="1" t="s">
        <v>112</v>
      </c>
      <c r="G75" s="1">
        <v>4</v>
      </c>
      <c r="H75" s="1">
        <v>1</v>
      </c>
      <c r="I75" s="12" t="s">
        <v>407</v>
      </c>
    </row>
    <row r="76" spans="1:9" x14ac:dyDescent="0.25">
      <c r="A76" s="16" t="s">
        <v>415</v>
      </c>
      <c r="B76" s="1" t="s">
        <v>418</v>
      </c>
      <c r="C76" s="3" t="s">
        <v>419</v>
      </c>
      <c r="D76" s="1" t="s">
        <v>108</v>
      </c>
      <c r="E76" s="1" t="s">
        <v>398</v>
      </c>
      <c r="F76" s="1" t="s">
        <v>73</v>
      </c>
      <c r="G76" s="1">
        <v>2</v>
      </c>
      <c r="H76" s="1">
        <v>1</v>
      </c>
      <c r="I76" s="12" t="s">
        <v>407</v>
      </c>
    </row>
    <row r="77" spans="1:9" x14ac:dyDescent="0.25">
      <c r="C77" s="10"/>
    </row>
    <row r="78" spans="1:9" x14ac:dyDescent="0.25">
      <c r="C78" s="10"/>
    </row>
    <row r="79" spans="1:9" x14ac:dyDescent="0.25">
      <c r="C79" s="10"/>
    </row>
    <row r="80" spans="1:9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94" spans="3:3" x14ac:dyDescent="0.25">
      <c r="C94" s="10"/>
    </row>
    <row r="95" spans="3:3" x14ac:dyDescent="0.25">
      <c r="C95" s="10"/>
    </row>
    <row r="96" spans="3:3" x14ac:dyDescent="0.25">
      <c r="C96" s="10"/>
    </row>
    <row r="97" spans="3:3" x14ac:dyDescent="0.25">
      <c r="C97" s="10"/>
    </row>
    <row r="98" spans="3:3" x14ac:dyDescent="0.25">
      <c r="C98" s="10"/>
    </row>
    <row r="99" spans="3:3" x14ac:dyDescent="0.25">
      <c r="C99" s="10"/>
    </row>
    <row r="100" spans="3:3" x14ac:dyDescent="0.25">
      <c r="C100" s="10"/>
    </row>
    <row r="101" spans="3:3" x14ac:dyDescent="0.25">
      <c r="C101" s="10"/>
    </row>
    <row r="102" spans="3:3" x14ac:dyDescent="0.25">
      <c r="C102" s="10"/>
    </row>
    <row r="103" spans="3:3" x14ac:dyDescent="0.25">
      <c r="C103" s="10"/>
    </row>
    <row r="104" spans="3:3" x14ac:dyDescent="0.25">
      <c r="C104" s="10"/>
    </row>
    <row r="105" spans="3:3" x14ac:dyDescent="0.25">
      <c r="C105" s="10"/>
    </row>
    <row r="106" spans="3:3" x14ac:dyDescent="0.25">
      <c r="C106" s="10"/>
    </row>
    <row r="107" spans="3:3" x14ac:dyDescent="0.25">
      <c r="C107" s="10"/>
    </row>
    <row r="108" spans="3:3" x14ac:dyDescent="0.25">
      <c r="C108" s="10"/>
    </row>
    <row r="109" spans="3:3" x14ac:dyDescent="0.25">
      <c r="C109" s="10"/>
    </row>
    <row r="110" spans="3:3" x14ac:dyDescent="0.25">
      <c r="C110" s="10"/>
    </row>
    <row r="111" spans="3:3" x14ac:dyDescent="0.25">
      <c r="C111" s="10"/>
    </row>
    <row r="112" spans="3:3" x14ac:dyDescent="0.25">
      <c r="C112" s="10"/>
    </row>
    <row r="113" spans="3:3" x14ac:dyDescent="0.25">
      <c r="C113" s="10"/>
    </row>
    <row r="114" spans="3:3" x14ac:dyDescent="0.25">
      <c r="C114" s="10"/>
    </row>
    <row r="115" spans="3:3" x14ac:dyDescent="0.25">
      <c r="C115" s="10"/>
    </row>
    <row r="116" spans="3:3" x14ac:dyDescent="0.25">
      <c r="C116" s="10"/>
    </row>
    <row r="117" spans="3:3" x14ac:dyDescent="0.25">
      <c r="C117" s="10"/>
    </row>
    <row r="118" spans="3:3" x14ac:dyDescent="0.25">
      <c r="C118" s="10"/>
    </row>
    <row r="119" spans="3:3" x14ac:dyDescent="0.25">
      <c r="C119" s="10"/>
    </row>
    <row r="120" spans="3:3" x14ac:dyDescent="0.25">
      <c r="C120" s="10"/>
    </row>
    <row r="121" spans="3:3" x14ac:dyDescent="0.25">
      <c r="C121" s="10"/>
    </row>
    <row r="122" spans="3:3" x14ac:dyDescent="0.25">
      <c r="C122" s="10"/>
    </row>
    <row r="123" spans="3:3" x14ac:dyDescent="0.25">
      <c r="C123" s="10"/>
    </row>
    <row r="124" spans="3:3" x14ac:dyDescent="0.25">
      <c r="C124" s="10"/>
    </row>
    <row r="125" spans="3:3" x14ac:dyDescent="0.25">
      <c r="C125" s="10"/>
    </row>
    <row r="126" spans="3:3" x14ac:dyDescent="0.25">
      <c r="C126" s="10"/>
    </row>
    <row r="127" spans="3:3" x14ac:dyDescent="0.25">
      <c r="C127" s="10"/>
    </row>
    <row r="128" spans="3:3" x14ac:dyDescent="0.25">
      <c r="C128" s="10"/>
    </row>
    <row r="129" spans="3:3" x14ac:dyDescent="0.25">
      <c r="C129" s="10"/>
    </row>
    <row r="130" spans="3:3" x14ac:dyDescent="0.25">
      <c r="C130" s="10"/>
    </row>
    <row r="131" spans="3:3" x14ac:dyDescent="0.25">
      <c r="C131" s="10"/>
    </row>
    <row r="132" spans="3:3" x14ac:dyDescent="0.25">
      <c r="C132" s="10"/>
    </row>
    <row r="133" spans="3:3" x14ac:dyDescent="0.25">
      <c r="C133" s="10"/>
    </row>
    <row r="134" spans="3:3" x14ac:dyDescent="0.25">
      <c r="C134" s="10"/>
    </row>
    <row r="135" spans="3:3" x14ac:dyDescent="0.25">
      <c r="C135" s="10"/>
    </row>
    <row r="136" spans="3:3" x14ac:dyDescent="0.25">
      <c r="C136" s="10"/>
    </row>
    <row r="137" spans="3:3" x14ac:dyDescent="0.25">
      <c r="C137" s="10"/>
    </row>
    <row r="138" spans="3:3" x14ac:dyDescent="0.25">
      <c r="C138" s="10"/>
    </row>
    <row r="139" spans="3:3" x14ac:dyDescent="0.25">
      <c r="C139" s="10"/>
    </row>
    <row r="140" spans="3:3" x14ac:dyDescent="0.25">
      <c r="C140" s="10"/>
    </row>
    <row r="141" spans="3:3" x14ac:dyDescent="0.25">
      <c r="C141" s="10"/>
    </row>
  </sheetData>
  <phoneticPr fontId="1" type="noConversion"/>
  <hyperlinks>
    <hyperlink ref="C2" r:id="rId1" xr:uid="{A1CA9A08-1C3E-4186-AFB5-CC3752644130}"/>
    <hyperlink ref="C3" r:id="rId2" xr:uid="{2446BE34-5D16-4494-999E-87FD92FD406B}"/>
    <hyperlink ref="C4" r:id="rId3" xr:uid="{036C861B-2842-4A1F-A3BD-3748C62EDF0D}"/>
    <hyperlink ref="C5" r:id="rId4" xr:uid="{04186EF1-14A8-42DB-9699-5FC43B4F3E52}"/>
    <hyperlink ref="C6" r:id="rId5" xr:uid="{5FC8DEAA-516D-466C-8412-160FD78BB855}"/>
    <hyperlink ref="C7" r:id="rId6" xr:uid="{AF72DBBA-423E-43C9-B81F-3D4AFDAE5AD2}"/>
    <hyperlink ref="C8" r:id="rId7" xr:uid="{05F38336-27E4-4718-8BD8-1AA9D446FB5E}"/>
    <hyperlink ref="C9" r:id="rId8" xr:uid="{6C9B3620-18CA-4612-BB17-D922B0011E32}"/>
    <hyperlink ref="C10" r:id="rId9" xr:uid="{B5AA28BD-151E-4694-9143-833657147E5D}"/>
    <hyperlink ref="C11" r:id="rId10" xr:uid="{089848AF-6A72-41C5-B330-65CF2A1973E0}"/>
    <hyperlink ref="C12" r:id="rId11" xr:uid="{C4D1F526-8813-4F99-A4B9-281C0AB37617}"/>
    <hyperlink ref="C13" r:id="rId12" xr:uid="{1AB1F2AE-9606-4304-ACD6-44AE4CF5D34D}"/>
    <hyperlink ref="C14" r:id="rId13" xr:uid="{A237A221-C969-49EB-A046-9F4ACAA9FAD4}"/>
    <hyperlink ref="C15" r:id="rId14" xr:uid="{74B906DC-35D2-4EA9-8505-D95F6E1F364D}"/>
    <hyperlink ref="C16" r:id="rId15" xr:uid="{182A2A83-0F13-4E3B-A1D8-359A141252E0}"/>
    <hyperlink ref="C17" r:id="rId16" xr:uid="{F418B210-44BC-4F44-B51D-87E6B3CE6195}"/>
    <hyperlink ref="C18" r:id="rId17" xr:uid="{CE69C0AC-5C29-430E-A1EA-479E459387AE}"/>
    <hyperlink ref="C19" r:id="rId18" xr:uid="{1078CE2D-3CC5-407A-BFFD-26016E523875}"/>
    <hyperlink ref="C20" r:id="rId19" xr:uid="{8CBB4E9A-7A2C-456D-A95E-4ACA1785481E}"/>
    <hyperlink ref="C21" r:id="rId20" xr:uid="{9E3F1BFD-60CF-4B49-99B7-6B943D48678F}"/>
    <hyperlink ref="C22" r:id="rId21" xr:uid="{592F8527-956D-4452-8C0A-928D1C4BF8AC}"/>
    <hyperlink ref="C23" r:id="rId22" xr:uid="{C65FAB07-684E-41F0-B4F0-49F4DDBAC923}"/>
    <hyperlink ref="C24" r:id="rId23" xr:uid="{511B6CA6-D5D8-4E48-A771-F67E1E112285}"/>
    <hyperlink ref="C25" r:id="rId24" xr:uid="{6A5DC31D-D31C-472E-855F-6B5257704E48}"/>
    <hyperlink ref="C26" r:id="rId25" xr:uid="{7FB8129E-8812-4746-BFEA-A1BE850A1176}"/>
    <hyperlink ref="C27" r:id="rId26" xr:uid="{6E19A103-A91B-46C0-AE3A-CBA626F2604F}"/>
    <hyperlink ref="C28" r:id="rId27" xr:uid="{39D333A1-84D7-44BD-8AF9-EE21E615FEBA}"/>
    <hyperlink ref="C29" r:id="rId28" xr:uid="{3A2F5888-FB3B-40A9-AE3D-8C0608072F5F}"/>
    <hyperlink ref="C30" r:id="rId29" xr:uid="{F9E9A4AE-1362-40F9-A9BF-090D3702CA79}"/>
    <hyperlink ref="C31" r:id="rId30" xr:uid="{AC191303-B6F4-409A-840C-25704217A91B}"/>
    <hyperlink ref="C32" r:id="rId31" xr:uid="{E1175430-1019-4AF3-B0C5-C7D2244CACC4}"/>
    <hyperlink ref="C33" r:id="rId32" xr:uid="{FC77A07F-19AD-47F1-BBDF-7E7C8D817DA1}"/>
    <hyperlink ref="C34" r:id="rId33" xr:uid="{424EC5A3-5FF1-4E7C-A312-BB46CDE2350A}"/>
    <hyperlink ref="C35" r:id="rId34" xr:uid="{84185C77-9F3B-4E6D-8BAF-A9364B6A2CA7}"/>
    <hyperlink ref="C36" r:id="rId35" xr:uid="{73DDBBE3-B365-47C0-BF0A-18A4DB8D789A}"/>
    <hyperlink ref="C37" r:id="rId36" xr:uid="{02D4E14E-2542-4AB9-8731-D8F18B4BC8FE}"/>
    <hyperlink ref="C38" r:id="rId37" xr:uid="{52FDE827-13C1-4F69-AA11-3BA0CFF0AD8A}"/>
    <hyperlink ref="C39" r:id="rId38" xr:uid="{B88C0B41-5F28-43B1-83F3-065256ED0D06}"/>
    <hyperlink ref="C40" r:id="rId39" xr:uid="{B5C6255D-3FDA-4D08-9ED6-E1E837068896}"/>
    <hyperlink ref="C41" r:id="rId40" xr:uid="{701C6BBB-731E-4332-93E1-40CC196DD71D}"/>
    <hyperlink ref="C42" r:id="rId41" xr:uid="{D7CCA074-BA35-452E-B21A-1B036A7ECD01}"/>
    <hyperlink ref="C43" r:id="rId42" xr:uid="{C7ED2B82-0AB7-44C6-83C7-5489F6E5F83E}"/>
    <hyperlink ref="C44" r:id="rId43" xr:uid="{2ACC465D-EA80-47CD-9B21-90340C283D51}"/>
    <hyperlink ref="C45" r:id="rId44" xr:uid="{8858B3EF-A904-44AF-B226-DFDE9178C025}"/>
    <hyperlink ref="C46" r:id="rId45" xr:uid="{FFFDFAC6-1CF5-481B-92F3-6F9E06158BCF}"/>
    <hyperlink ref="C47" r:id="rId46" xr:uid="{5D0EC2F0-624A-4E76-B2C5-94202FA7DC1F}"/>
    <hyperlink ref="C48" r:id="rId47" xr:uid="{D3E46C90-3835-4861-8617-8A547E8923D4}"/>
    <hyperlink ref="C49" r:id="rId48" xr:uid="{03303B24-FACB-4F1D-A4F6-829CCE0F1C8C}"/>
    <hyperlink ref="C50" r:id="rId49" xr:uid="{1872CD07-BF9A-48D0-AC69-FA4A562ECE33}"/>
    <hyperlink ref="C51" r:id="rId50" xr:uid="{E2F03C14-2DEF-4BC5-95E7-75A86B354971}"/>
    <hyperlink ref="C52" r:id="rId51" xr:uid="{37181824-891F-4657-A305-5C35C583C958}"/>
    <hyperlink ref="C53" r:id="rId52" xr:uid="{6826E22D-4993-4A39-8B3E-F3F4C8D3301D}"/>
    <hyperlink ref="C54" r:id="rId53" xr:uid="{5507EC52-273D-4AB4-AA15-86F8136A0036}"/>
    <hyperlink ref="C55" r:id="rId54" xr:uid="{0875E84B-52DB-4A67-8F48-1199CBB0D701}"/>
    <hyperlink ref="C56" r:id="rId55" xr:uid="{D0E38B47-5DF0-49F9-88E0-FCE5CB68EF1E}"/>
    <hyperlink ref="C57" r:id="rId56" xr:uid="{DF9DFFC4-56E4-4553-ADE9-5BED77D007F9}"/>
    <hyperlink ref="C58" r:id="rId57" xr:uid="{4ECB6071-453F-43F6-BD8A-5FAA9CC73AC9}"/>
    <hyperlink ref="C59" r:id="rId58" xr:uid="{0103ECD6-23F2-4565-B67B-55C8FD2503CA}"/>
    <hyperlink ref="C60" r:id="rId59" xr:uid="{4EA34FE6-F877-482E-97D3-601AC8398F8D}"/>
    <hyperlink ref="C61" r:id="rId60" xr:uid="{C05B33B0-3136-42A9-B213-2F4EE5BF6B52}"/>
    <hyperlink ref="C62" r:id="rId61" xr:uid="{D7D4F25D-E898-427B-8DE1-E71E4A4F08BF}"/>
    <hyperlink ref="C63" r:id="rId62" xr:uid="{7B3D731C-1F03-49C5-B5CB-CDABDD213FDF}"/>
    <hyperlink ref="C64" r:id="rId63" xr:uid="{93FD3AD4-F7F8-44A6-B554-E361DF227657}"/>
    <hyperlink ref="C65" r:id="rId64" xr:uid="{F0ED849D-F6AE-415D-84F0-A0F3D885DB6C}"/>
    <hyperlink ref="C66" r:id="rId65" xr:uid="{85F9D627-A244-430C-AC9D-0142508BD078}"/>
    <hyperlink ref="C67" r:id="rId66" xr:uid="{582F80C4-2010-4DED-84FE-49D4B4DEAB75}"/>
    <hyperlink ref="C68" r:id="rId67" xr:uid="{683A3FDE-E380-40E2-8FDC-EA1E4F87795B}"/>
    <hyperlink ref="C69" r:id="rId68" xr:uid="{01BD2DC0-D2D7-44B3-9032-0E7A3F302D3E}"/>
    <hyperlink ref="C70" r:id="rId69" xr:uid="{9B9337AD-1041-4633-9D77-E8F191537328}"/>
    <hyperlink ref="C71" r:id="rId70" xr:uid="{2841CE7C-FF25-46B9-A52D-99AB08E40BA4}"/>
    <hyperlink ref="C72" r:id="rId71" xr:uid="{19799A68-DF4F-475D-94DA-CED9E3622313}"/>
    <hyperlink ref="C73" r:id="rId72" xr:uid="{B7535B3B-EB9A-4408-9A04-C2A4683AAB7E}"/>
    <hyperlink ref="C74" r:id="rId73" xr:uid="{3005304C-DBDA-4E70-8D25-A1DD13018BA8}"/>
    <hyperlink ref="C75" r:id="rId74" xr:uid="{342663BE-477C-4776-9A70-A747B50963D3}"/>
    <hyperlink ref="C76" r:id="rId75" xr:uid="{DBBEB3D6-0CB3-49D2-809A-CAED84F15FF6}"/>
  </hyperlinks>
  <pageMargins left="0.7" right="0.7" top="0.75" bottom="0.75" header="0.3" footer="0.3"/>
  <tableParts count="1">
    <tablePart r:id="rId7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8BE6-D91E-42DA-A482-3F70F630120D}">
  <dimension ref="A1:K21"/>
  <sheetViews>
    <sheetView workbookViewId="0">
      <selection activeCell="D25" sqref="D25"/>
    </sheetView>
  </sheetViews>
  <sheetFormatPr defaultRowHeight="15" x14ac:dyDescent="0.25"/>
  <cols>
    <col min="1" max="1" width="5.85546875" bestFit="1" customWidth="1"/>
    <col min="2" max="2" width="27.28515625" bestFit="1" customWidth="1"/>
    <col min="3" max="3" width="11.7109375" bestFit="1" customWidth="1"/>
    <col min="4" max="4" width="14.140625" bestFit="1" customWidth="1"/>
    <col min="5" max="5" width="16.7109375" bestFit="1" customWidth="1"/>
    <col min="6" max="7" width="10" bestFit="1" customWidth="1"/>
    <col min="8" max="8" width="16.5703125" bestFit="1" customWidth="1"/>
    <col min="9" max="9" width="10.28515625" bestFit="1" customWidth="1"/>
    <col min="10" max="10" width="15.42578125" bestFit="1" customWidth="1"/>
    <col min="11" max="11" width="14.7109375" bestFit="1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24</v>
      </c>
      <c r="J1" s="1" t="s">
        <v>47</v>
      </c>
      <c r="K1" s="1" t="s">
        <v>63</v>
      </c>
    </row>
    <row r="2" spans="1:11" x14ac:dyDescent="0.25">
      <c r="A2" s="1" t="s">
        <v>25</v>
      </c>
      <c r="B2" s="1" t="s">
        <v>39</v>
      </c>
      <c r="C2" s="1" t="s">
        <v>48</v>
      </c>
      <c r="D2" s="1" t="s">
        <v>51</v>
      </c>
      <c r="E2" s="1" t="s">
        <v>60</v>
      </c>
      <c r="F2" s="2">
        <v>46223</v>
      </c>
      <c r="G2" s="2">
        <v>46233</v>
      </c>
      <c r="H2" s="1">
        <v>1</v>
      </c>
      <c r="I2" s="1" t="s">
        <v>360</v>
      </c>
      <c r="J2" s="1">
        <v>15000000</v>
      </c>
      <c r="K2" s="1" t="s">
        <v>64</v>
      </c>
    </row>
    <row r="3" spans="1:11" x14ac:dyDescent="0.25">
      <c r="A3" s="1" t="s">
        <v>26</v>
      </c>
      <c r="B3" s="1" t="s">
        <v>40</v>
      </c>
      <c r="C3" s="1" t="s">
        <v>48</v>
      </c>
      <c r="D3" s="1" t="s">
        <v>52</v>
      </c>
      <c r="E3" s="1" t="s">
        <v>60</v>
      </c>
      <c r="F3" s="2">
        <v>46174</v>
      </c>
      <c r="G3" s="1"/>
      <c r="H3" s="1">
        <v>1</v>
      </c>
      <c r="I3" s="1" t="s">
        <v>61</v>
      </c>
      <c r="J3" s="1">
        <v>18000000</v>
      </c>
      <c r="K3" s="1" t="s">
        <v>64</v>
      </c>
    </row>
    <row r="4" spans="1:11" x14ac:dyDescent="0.25">
      <c r="A4" s="1" t="s">
        <v>27</v>
      </c>
      <c r="B4" s="1" t="s">
        <v>41</v>
      </c>
      <c r="C4" s="1" t="s">
        <v>48</v>
      </c>
      <c r="D4" s="1" t="s">
        <v>53</v>
      </c>
      <c r="E4" s="1" t="s">
        <v>60</v>
      </c>
      <c r="F4" s="2">
        <v>46174</v>
      </c>
      <c r="G4" s="1"/>
      <c r="H4" s="1">
        <v>1</v>
      </c>
      <c r="I4" s="1" t="s">
        <v>61</v>
      </c>
      <c r="J4" s="1">
        <v>20000000</v>
      </c>
      <c r="K4" s="1" t="s">
        <v>64</v>
      </c>
    </row>
    <row r="5" spans="1:11" x14ac:dyDescent="0.25">
      <c r="A5" s="1" t="s">
        <v>28</v>
      </c>
      <c r="B5" s="1" t="s">
        <v>42</v>
      </c>
      <c r="C5" s="1" t="s">
        <v>48</v>
      </c>
      <c r="D5" s="1" t="s">
        <v>54</v>
      </c>
      <c r="E5" s="1" t="s">
        <v>60</v>
      </c>
      <c r="F5" s="2">
        <v>46174</v>
      </c>
      <c r="G5" s="1"/>
      <c r="H5" s="1">
        <v>1</v>
      </c>
      <c r="I5" s="1" t="s">
        <v>61</v>
      </c>
      <c r="J5" s="1">
        <v>21000000</v>
      </c>
      <c r="K5" s="1" t="s">
        <v>64</v>
      </c>
    </row>
    <row r="6" spans="1:11" x14ac:dyDescent="0.25">
      <c r="A6" s="1" t="s">
        <v>29</v>
      </c>
      <c r="B6" s="1" t="s">
        <v>43</v>
      </c>
      <c r="C6" s="1" t="s">
        <v>49</v>
      </c>
      <c r="D6" s="1" t="s">
        <v>55</v>
      </c>
      <c r="E6" s="1" t="s">
        <v>60</v>
      </c>
      <c r="F6" s="2">
        <v>46174</v>
      </c>
      <c r="G6" s="1"/>
      <c r="H6" s="1">
        <v>1</v>
      </c>
      <c r="I6" s="1" t="s">
        <v>61</v>
      </c>
      <c r="J6" s="1">
        <v>12000000</v>
      </c>
      <c r="K6" s="1" t="s">
        <v>67</v>
      </c>
    </row>
    <row r="7" spans="1:11" x14ac:dyDescent="0.25">
      <c r="A7" s="1" t="s">
        <v>30</v>
      </c>
      <c r="B7" s="1" t="s">
        <v>44</v>
      </c>
      <c r="C7" s="1" t="s">
        <v>50</v>
      </c>
      <c r="D7" s="1" t="s">
        <v>56</v>
      </c>
      <c r="E7" s="1" t="s">
        <v>60</v>
      </c>
      <c r="F7" s="2">
        <v>46174</v>
      </c>
      <c r="G7" s="1"/>
      <c r="H7" s="1">
        <v>1</v>
      </c>
      <c r="I7" s="1" t="s">
        <v>61</v>
      </c>
      <c r="J7" s="1">
        <v>12000000</v>
      </c>
      <c r="K7" s="1" t="s">
        <v>67</v>
      </c>
    </row>
    <row r="8" spans="1:11" x14ac:dyDescent="0.25">
      <c r="A8" s="1" t="s">
        <v>31</v>
      </c>
      <c r="B8" s="1" t="s">
        <v>45</v>
      </c>
      <c r="C8" s="1" t="s">
        <v>48</v>
      </c>
      <c r="D8" s="1" t="s">
        <v>57</v>
      </c>
      <c r="E8" s="1" t="s">
        <v>60</v>
      </c>
      <c r="F8" s="2">
        <v>46174</v>
      </c>
      <c r="G8" s="1"/>
      <c r="H8" s="1">
        <v>1</v>
      </c>
      <c r="I8" s="1" t="s">
        <v>61</v>
      </c>
      <c r="J8" s="1">
        <v>17000000</v>
      </c>
      <c r="K8" s="1" t="s">
        <v>64</v>
      </c>
    </row>
    <row r="9" spans="1:11" x14ac:dyDescent="0.25">
      <c r="A9" s="1" t="s">
        <v>32</v>
      </c>
      <c r="B9" s="1" t="s">
        <v>201</v>
      </c>
      <c r="C9" s="1" t="s">
        <v>49</v>
      </c>
      <c r="D9" s="1" t="s">
        <v>58</v>
      </c>
      <c r="E9" s="1" t="s">
        <v>60</v>
      </c>
      <c r="F9" s="2">
        <v>46174</v>
      </c>
      <c r="G9" s="1"/>
      <c r="H9" s="1">
        <v>1</v>
      </c>
      <c r="I9" s="1" t="s">
        <v>61</v>
      </c>
      <c r="J9" s="1">
        <v>3200000</v>
      </c>
      <c r="K9" s="1" t="s">
        <v>68</v>
      </c>
    </row>
    <row r="10" spans="1:11" x14ac:dyDescent="0.25">
      <c r="A10" s="1" t="s">
        <v>33</v>
      </c>
      <c r="B10" s="1" t="s">
        <v>46</v>
      </c>
      <c r="C10" s="1" t="s">
        <v>50</v>
      </c>
      <c r="D10" s="1" t="s">
        <v>59</v>
      </c>
      <c r="E10" s="1" t="s">
        <v>60</v>
      </c>
      <c r="F10" s="2">
        <v>46174</v>
      </c>
      <c r="G10" s="1"/>
      <c r="H10" s="1">
        <v>1</v>
      </c>
      <c r="I10" s="1" t="s">
        <v>62</v>
      </c>
      <c r="J10" s="1">
        <v>8000000</v>
      </c>
      <c r="K10" s="1" t="s">
        <v>68</v>
      </c>
    </row>
    <row r="11" spans="1:11" x14ac:dyDescent="0.25">
      <c r="A11" s="1" t="s">
        <v>34</v>
      </c>
      <c r="B11" s="1" t="s">
        <v>199</v>
      </c>
      <c r="C11" s="1" t="s">
        <v>49</v>
      </c>
      <c r="D11" s="1" t="s">
        <v>200</v>
      </c>
      <c r="E11" s="1" t="s">
        <v>60</v>
      </c>
      <c r="F11" s="2">
        <v>46175</v>
      </c>
      <c r="G11" s="1"/>
      <c r="H11" s="1">
        <v>1</v>
      </c>
      <c r="I11" s="1" t="s">
        <v>61</v>
      </c>
      <c r="J11" s="1">
        <v>30000000</v>
      </c>
      <c r="K11" s="1" t="s">
        <v>66</v>
      </c>
    </row>
    <row r="12" spans="1:11" x14ac:dyDescent="0.25">
      <c r="A12" s="1" t="s">
        <v>35</v>
      </c>
      <c r="B12" s="1" t="s">
        <v>202</v>
      </c>
      <c r="C12" s="1" t="s">
        <v>49</v>
      </c>
      <c r="D12" s="1" t="s">
        <v>350</v>
      </c>
      <c r="E12" s="1" t="s">
        <v>60</v>
      </c>
      <c r="F12" s="2">
        <v>46175</v>
      </c>
      <c r="G12" s="1"/>
      <c r="H12" s="1">
        <v>1</v>
      </c>
      <c r="I12" s="1" t="s">
        <v>61</v>
      </c>
      <c r="J12" s="1">
        <v>15000000</v>
      </c>
      <c r="K12" s="1" t="s">
        <v>64</v>
      </c>
    </row>
    <row r="13" spans="1:11" x14ac:dyDescent="0.25">
      <c r="A13" s="1" t="s">
        <v>36</v>
      </c>
      <c r="B13" s="1" t="s">
        <v>203</v>
      </c>
      <c r="C13" s="1" t="s">
        <v>49</v>
      </c>
      <c r="D13" s="1" t="s">
        <v>351</v>
      </c>
      <c r="E13" s="1" t="s">
        <v>60</v>
      </c>
      <c r="F13" s="2">
        <v>46175</v>
      </c>
      <c r="G13" s="1"/>
      <c r="H13" s="1">
        <v>1</v>
      </c>
      <c r="I13" s="1" t="s">
        <v>61</v>
      </c>
      <c r="J13" s="1">
        <v>8000000</v>
      </c>
      <c r="K13" s="1" t="s">
        <v>67</v>
      </c>
    </row>
    <row r="14" spans="1:11" x14ac:dyDescent="0.25">
      <c r="A14" s="1" t="s">
        <v>37</v>
      </c>
      <c r="B14" s="1" t="s">
        <v>204</v>
      </c>
      <c r="C14" s="1" t="s">
        <v>49</v>
      </c>
      <c r="D14" s="1" t="s">
        <v>352</v>
      </c>
      <c r="E14" s="1" t="s">
        <v>60</v>
      </c>
      <c r="F14" s="2">
        <v>46175</v>
      </c>
      <c r="G14" s="1"/>
      <c r="H14" s="1">
        <v>1</v>
      </c>
      <c r="I14" s="1" t="s">
        <v>61</v>
      </c>
      <c r="J14" s="1">
        <v>15000000</v>
      </c>
      <c r="K14" s="1" t="s">
        <v>64</v>
      </c>
    </row>
    <row r="15" spans="1:11" x14ac:dyDescent="0.25">
      <c r="A15" s="1" t="s">
        <v>38</v>
      </c>
      <c r="B15" s="1" t="s">
        <v>205</v>
      </c>
      <c r="C15" s="1" t="s">
        <v>49</v>
      </c>
      <c r="D15" s="1" t="s">
        <v>200</v>
      </c>
      <c r="E15" s="1" t="s">
        <v>60</v>
      </c>
      <c r="F15" s="2">
        <v>46175</v>
      </c>
      <c r="G15" s="1"/>
      <c r="H15" s="1">
        <v>1</v>
      </c>
      <c r="I15" s="1" t="s">
        <v>61</v>
      </c>
      <c r="J15" s="1">
        <v>20000000</v>
      </c>
      <c r="K15" s="1" t="s">
        <v>65</v>
      </c>
    </row>
    <row r="16" spans="1:11" x14ac:dyDescent="0.25">
      <c r="A16" s="1" t="s">
        <v>148</v>
      </c>
      <c r="B16" s="1" t="s">
        <v>206</v>
      </c>
      <c r="C16" s="1" t="s">
        <v>210</v>
      </c>
      <c r="D16" s="1" t="s">
        <v>353</v>
      </c>
      <c r="E16" s="1" t="s">
        <v>60</v>
      </c>
      <c r="F16" s="2">
        <v>46175</v>
      </c>
      <c r="G16" s="1"/>
      <c r="H16" s="1">
        <v>1</v>
      </c>
      <c r="I16" s="1" t="s">
        <v>61</v>
      </c>
      <c r="J16" s="1">
        <v>8000000</v>
      </c>
      <c r="K16" s="1" t="s">
        <v>67</v>
      </c>
    </row>
    <row r="17" spans="1:11" x14ac:dyDescent="0.25">
      <c r="A17" s="1" t="s">
        <v>149</v>
      </c>
      <c r="B17" s="1" t="s">
        <v>207</v>
      </c>
      <c r="C17" s="1" t="s">
        <v>210</v>
      </c>
      <c r="D17" s="1" t="s">
        <v>200</v>
      </c>
      <c r="E17" s="1" t="s">
        <v>60</v>
      </c>
      <c r="F17" s="2">
        <v>46175</v>
      </c>
      <c r="G17" s="1"/>
      <c r="H17" s="1">
        <v>1</v>
      </c>
      <c r="I17" s="1" t="s">
        <v>61</v>
      </c>
      <c r="J17" s="1">
        <v>23000000</v>
      </c>
      <c r="K17" s="1" t="s">
        <v>65</v>
      </c>
    </row>
    <row r="18" spans="1:11" x14ac:dyDescent="0.25">
      <c r="A18" s="1" t="s">
        <v>150</v>
      </c>
      <c r="B18" s="1" t="s">
        <v>208</v>
      </c>
      <c r="C18" s="1" t="s">
        <v>210</v>
      </c>
      <c r="D18" s="1" t="s">
        <v>200</v>
      </c>
      <c r="E18" s="1" t="s">
        <v>60</v>
      </c>
      <c r="F18" s="2">
        <v>46175</v>
      </c>
      <c r="G18" s="1"/>
      <c r="H18" s="1">
        <v>1</v>
      </c>
      <c r="I18" s="1" t="s">
        <v>61</v>
      </c>
      <c r="J18" s="1">
        <v>12000000</v>
      </c>
      <c r="K18" s="1" t="s">
        <v>64</v>
      </c>
    </row>
    <row r="19" spans="1:11" x14ac:dyDescent="0.25">
      <c r="A19" s="1" t="s">
        <v>151</v>
      </c>
      <c r="B19" s="1" t="s">
        <v>209</v>
      </c>
      <c r="C19" s="1" t="s">
        <v>50</v>
      </c>
      <c r="D19" s="1" t="s">
        <v>200</v>
      </c>
      <c r="E19" s="1" t="s">
        <v>60</v>
      </c>
      <c r="F19" s="2">
        <v>46175</v>
      </c>
      <c r="G19" s="1"/>
      <c r="H19" s="1">
        <v>1</v>
      </c>
      <c r="I19" s="1" t="s">
        <v>61</v>
      </c>
      <c r="J19" s="1">
        <v>14000000</v>
      </c>
      <c r="K19" s="1" t="s">
        <v>64</v>
      </c>
    </row>
    <row r="20" spans="1:11" x14ac:dyDescent="0.25">
      <c r="A20" s="1" t="s">
        <v>357</v>
      </c>
      <c r="B20" s="1" t="s">
        <v>358</v>
      </c>
      <c r="C20" s="1" t="s">
        <v>48</v>
      </c>
      <c r="D20" s="1" t="s">
        <v>359</v>
      </c>
      <c r="E20" s="1" t="s">
        <v>60</v>
      </c>
      <c r="F20" s="2">
        <v>46143</v>
      </c>
      <c r="G20" s="2">
        <v>46205</v>
      </c>
      <c r="H20" s="1">
        <v>1</v>
      </c>
      <c r="I20" s="1" t="s">
        <v>360</v>
      </c>
      <c r="J20" s="1">
        <v>35000000</v>
      </c>
      <c r="K20" s="1" t="s">
        <v>66</v>
      </c>
    </row>
    <row r="21" spans="1:11" x14ac:dyDescent="0.25">
      <c r="A21" s="18" t="s">
        <v>399</v>
      </c>
      <c r="B21" s="18" t="s">
        <v>400</v>
      </c>
      <c r="C21" s="18" t="s">
        <v>401</v>
      </c>
      <c r="D21" s="18" t="s">
        <v>402</v>
      </c>
      <c r="E21" s="18" t="s">
        <v>60</v>
      </c>
      <c r="F21" s="2">
        <v>46113</v>
      </c>
      <c r="G21" s="2">
        <v>46218</v>
      </c>
      <c r="H21" s="18">
        <v>1</v>
      </c>
      <c r="I21" s="18" t="s">
        <v>360</v>
      </c>
      <c r="J21" s="18">
        <v>40000000</v>
      </c>
      <c r="K21" s="18" t="s">
        <v>403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C4B7-FA79-4F15-A49B-07229D28439B}">
  <dimension ref="A1:H170"/>
  <sheetViews>
    <sheetView topLeftCell="A64" workbookViewId="0">
      <selection activeCell="D88" sqref="D88:D89"/>
    </sheetView>
  </sheetViews>
  <sheetFormatPr defaultRowHeight="15" x14ac:dyDescent="0.25"/>
  <cols>
    <col min="1" max="1" width="15.140625" customWidth="1"/>
    <col min="2" max="2" width="14" customWidth="1"/>
    <col min="3" max="3" width="8" customWidth="1"/>
    <col min="4" max="4" width="17.42578125" customWidth="1"/>
    <col min="5" max="5" width="16.5703125" customWidth="1"/>
    <col min="6" max="6" width="15.28515625" customWidth="1"/>
    <col min="7" max="7" width="15.5703125" customWidth="1"/>
    <col min="8" max="8" width="17" customWidth="1"/>
  </cols>
  <sheetData>
    <row r="1" spans="1:8" x14ac:dyDescent="0.25">
      <c r="A1" s="13" t="s">
        <v>17</v>
      </c>
      <c r="B1" s="14" t="s">
        <v>3</v>
      </c>
      <c r="C1" s="14" t="s">
        <v>9</v>
      </c>
      <c r="D1" s="14" t="s">
        <v>18</v>
      </c>
      <c r="E1" s="14" t="s">
        <v>133</v>
      </c>
      <c r="F1" s="14" t="s">
        <v>20</v>
      </c>
      <c r="G1" s="14" t="s">
        <v>21</v>
      </c>
      <c r="H1" s="15" t="s">
        <v>262</v>
      </c>
    </row>
    <row r="2" spans="1:8" x14ac:dyDescent="0.25">
      <c r="A2" s="11" t="s">
        <v>113</v>
      </c>
      <c r="B2" s="1" t="s">
        <v>83</v>
      </c>
      <c r="C2" s="1" t="s">
        <v>25</v>
      </c>
      <c r="D2" s="2">
        <v>46233</v>
      </c>
      <c r="E2" s="1" t="s">
        <v>134</v>
      </c>
      <c r="F2" s="1" t="s">
        <v>361</v>
      </c>
      <c r="G2" s="1" t="s">
        <v>361</v>
      </c>
      <c r="H2" s="12"/>
    </row>
    <row r="3" spans="1:8" x14ac:dyDescent="0.25">
      <c r="A3" s="11" t="s">
        <v>114</v>
      </c>
      <c r="B3" s="1" t="s">
        <v>83</v>
      </c>
      <c r="C3" s="1" t="s">
        <v>26</v>
      </c>
      <c r="D3" s="2">
        <v>46205</v>
      </c>
      <c r="E3" s="1" t="s">
        <v>135</v>
      </c>
      <c r="F3" s="1" t="s">
        <v>147</v>
      </c>
      <c r="G3" s="1"/>
      <c r="H3" s="12"/>
    </row>
    <row r="4" spans="1:8" x14ac:dyDescent="0.25">
      <c r="A4" s="11" t="s">
        <v>115</v>
      </c>
      <c r="B4" s="1" t="s">
        <v>87</v>
      </c>
      <c r="C4" s="1" t="s">
        <v>29</v>
      </c>
      <c r="D4" s="2">
        <v>46204</v>
      </c>
      <c r="E4" s="1" t="s">
        <v>134</v>
      </c>
      <c r="F4" s="1" t="s">
        <v>147</v>
      </c>
      <c r="G4" s="1"/>
      <c r="H4" s="12"/>
    </row>
    <row r="5" spans="1:8" x14ac:dyDescent="0.25">
      <c r="A5" s="11" t="s">
        <v>116</v>
      </c>
      <c r="B5" s="1" t="s">
        <v>76</v>
      </c>
      <c r="C5" s="1" t="s">
        <v>27</v>
      </c>
      <c r="D5" s="2">
        <v>46204</v>
      </c>
      <c r="E5" s="1" t="s">
        <v>134</v>
      </c>
      <c r="F5" s="1" t="s">
        <v>147</v>
      </c>
      <c r="G5" s="1"/>
      <c r="H5" s="12"/>
    </row>
    <row r="6" spans="1:8" x14ac:dyDescent="0.25">
      <c r="A6" s="11" t="s">
        <v>117</v>
      </c>
      <c r="B6" s="1" t="s">
        <v>80</v>
      </c>
      <c r="C6" s="1" t="s">
        <v>27</v>
      </c>
      <c r="D6" s="2">
        <v>46204</v>
      </c>
      <c r="E6" s="1" t="s">
        <v>134</v>
      </c>
      <c r="F6" s="1" t="s">
        <v>260</v>
      </c>
      <c r="G6" s="1"/>
      <c r="H6" s="12"/>
    </row>
    <row r="7" spans="1:8" x14ac:dyDescent="0.25">
      <c r="A7" s="11" t="s">
        <v>118</v>
      </c>
      <c r="B7" s="1" t="s">
        <v>80</v>
      </c>
      <c r="C7" s="1" t="s">
        <v>26</v>
      </c>
      <c r="D7" s="2">
        <v>46204</v>
      </c>
      <c r="E7" s="1" t="s">
        <v>134</v>
      </c>
      <c r="F7" s="1" t="s">
        <v>147</v>
      </c>
      <c r="G7" s="1"/>
      <c r="H7" s="12"/>
    </row>
    <row r="8" spans="1:8" x14ac:dyDescent="0.25">
      <c r="A8" s="11" t="s">
        <v>119</v>
      </c>
      <c r="B8" s="1" t="s">
        <v>83</v>
      </c>
      <c r="C8" s="1" t="s">
        <v>31</v>
      </c>
      <c r="D8" s="2">
        <v>46204</v>
      </c>
      <c r="E8" s="1" t="s">
        <v>134</v>
      </c>
      <c r="F8" s="1" t="s">
        <v>147</v>
      </c>
      <c r="G8" s="1"/>
      <c r="H8" s="12"/>
    </row>
    <row r="9" spans="1:8" x14ac:dyDescent="0.25">
      <c r="A9" s="11" t="s">
        <v>120</v>
      </c>
      <c r="B9" s="1" t="s">
        <v>84</v>
      </c>
      <c r="C9" s="1" t="s">
        <v>27</v>
      </c>
      <c r="D9" s="2">
        <v>46204</v>
      </c>
      <c r="E9" s="1" t="s">
        <v>134</v>
      </c>
      <c r="F9" s="1" t="s">
        <v>147</v>
      </c>
      <c r="G9" s="1"/>
      <c r="H9" s="12"/>
    </row>
    <row r="10" spans="1:8" x14ac:dyDescent="0.25">
      <c r="A10" s="11" t="s">
        <v>121</v>
      </c>
      <c r="B10" s="1" t="s">
        <v>88</v>
      </c>
      <c r="C10" s="1" t="s">
        <v>27</v>
      </c>
      <c r="D10" s="2">
        <v>46174</v>
      </c>
      <c r="E10" s="1" t="s">
        <v>134</v>
      </c>
      <c r="F10" s="1" t="s">
        <v>260</v>
      </c>
      <c r="G10" s="1"/>
      <c r="H10" s="12"/>
    </row>
    <row r="11" spans="1:8" x14ac:dyDescent="0.25">
      <c r="A11" s="11" t="s">
        <v>122</v>
      </c>
      <c r="B11" s="1" t="s">
        <v>92</v>
      </c>
      <c r="C11" s="1" t="s">
        <v>25</v>
      </c>
      <c r="D11" s="2">
        <v>46191</v>
      </c>
      <c r="E11" s="1" t="s">
        <v>134</v>
      </c>
      <c r="F11" s="1" t="s">
        <v>363</v>
      </c>
      <c r="G11" s="1"/>
      <c r="H11" s="12"/>
    </row>
    <row r="12" spans="1:8" x14ac:dyDescent="0.25">
      <c r="A12" s="11" t="s">
        <v>123</v>
      </c>
      <c r="B12" s="1" t="s">
        <v>96</v>
      </c>
      <c r="C12" s="1" t="s">
        <v>28</v>
      </c>
      <c r="D12" s="2">
        <v>46192</v>
      </c>
      <c r="E12" s="1" t="s">
        <v>134</v>
      </c>
      <c r="F12" s="1" t="s">
        <v>147</v>
      </c>
      <c r="G12" s="1"/>
      <c r="H12" s="12"/>
    </row>
    <row r="13" spans="1:8" x14ac:dyDescent="0.25">
      <c r="A13" s="11" t="s">
        <v>124</v>
      </c>
      <c r="B13" s="1" t="s">
        <v>96</v>
      </c>
      <c r="C13" s="1" t="s">
        <v>25</v>
      </c>
      <c r="D13" s="2">
        <v>46194</v>
      </c>
      <c r="E13" s="1" t="s">
        <v>134</v>
      </c>
      <c r="F13" s="1" t="s">
        <v>147</v>
      </c>
      <c r="G13" s="1"/>
      <c r="H13" s="12"/>
    </row>
    <row r="14" spans="1:8" x14ac:dyDescent="0.25">
      <c r="A14" s="11" t="s">
        <v>125</v>
      </c>
      <c r="B14" s="1" t="s">
        <v>100</v>
      </c>
      <c r="C14" s="1" t="s">
        <v>25</v>
      </c>
      <c r="D14" s="2">
        <v>46174</v>
      </c>
      <c r="E14" s="1" t="s">
        <v>134</v>
      </c>
      <c r="F14" s="1" t="s">
        <v>260</v>
      </c>
      <c r="G14" s="1"/>
      <c r="H14" s="12"/>
    </row>
    <row r="15" spans="1:8" x14ac:dyDescent="0.25">
      <c r="A15" s="11" t="s">
        <v>126</v>
      </c>
      <c r="B15" s="1" t="s">
        <v>100</v>
      </c>
      <c r="C15" s="1" t="s">
        <v>26</v>
      </c>
      <c r="D15" s="2">
        <v>46204</v>
      </c>
      <c r="E15" s="1" t="s">
        <v>135</v>
      </c>
      <c r="F15" s="1" t="s">
        <v>260</v>
      </c>
      <c r="G15" s="1"/>
      <c r="H15" s="12"/>
    </row>
    <row r="16" spans="1:8" x14ac:dyDescent="0.25">
      <c r="A16" s="11" t="s">
        <v>127</v>
      </c>
      <c r="B16" s="1" t="s">
        <v>100</v>
      </c>
      <c r="C16" s="1" t="s">
        <v>27</v>
      </c>
      <c r="D16" s="2">
        <v>46174</v>
      </c>
      <c r="E16" s="1" t="s">
        <v>134</v>
      </c>
      <c r="F16" s="1" t="s">
        <v>362</v>
      </c>
      <c r="G16" s="1"/>
      <c r="H16" s="12"/>
    </row>
    <row r="17" spans="1:8" x14ac:dyDescent="0.25">
      <c r="A17" s="11" t="s">
        <v>128</v>
      </c>
      <c r="B17" s="1" t="s">
        <v>104</v>
      </c>
      <c r="C17" s="1" t="s">
        <v>31</v>
      </c>
      <c r="D17" s="2">
        <v>46187</v>
      </c>
      <c r="E17" s="1" t="s">
        <v>134</v>
      </c>
      <c r="F17" s="1" t="s">
        <v>260</v>
      </c>
      <c r="G17" s="1"/>
      <c r="H17" s="12"/>
    </row>
    <row r="18" spans="1:8" x14ac:dyDescent="0.25">
      <c r="A18" s="11" t="s">
        <v>129</v>
      </c>
      <c r="B18" s="1" t="s">
        <v>107</v>
      </c>
      <c r="C18" s="1" t="s">
        <v>31</v>
      </c>
      <c r="D18" s="2">
        <v>46191</v>
      </c>
      <c r="E18" s="1" t="s">
        <v>135</v>
      </c>
      <c r="F18" s="1" t="s">
        <v>147</v>
      </c>
      <c r="G18" s="1"/>
      <c r="H18" s="12"/>
    </row>
    <row r="19" spans="1:8" x14ac:dyDescent="0.25">
      <c r="A19" s="11" t="s">
        <v>130</v>
      </c>
      <c r="B19" s="1" t="s">
        <v>152</v>
      </c>
      <c r="C19" s="1" t="s">
        <v>31</v>
      </c>
      <c r="D19" s="2">
        <v>46185</v>
      </c>
      <c r="E19" s="1" t="s">
        <v>134</v>
      </c>
      <c r="F19" s="1" t="s">
        <v>260</v>
      </c>
      <c r="G19" s="1"/>
      <c r="H19" s="12"/>
    </row>
    <row r="20" spans="1:8" x14ac:dyDescent="0.25">
      <c r="A20" s="11" t="s">
        <v>131</v>
      </c>
      <c r="B20" s="1" t="s">
        <v>154</v>
      </c>
      <c r="C20" s="1" t="s">
        <v>28</v>
      </c>
      <c r="D20" s="2">
        <v>46195</v>
      </c>
      <c r="E20" s="1" t="s">
        <v>134</v>
      </c>
      <c r="F20" s="1" t="s">
        <v>147</v>
      </c>
      <c r="G20" s="1"/>
      <c r="H20" s="12"/>
    </row>
    <row r="21" spans="1:8" x14ac:dyDescent="0.25">
      <c r="A21" s="11" t="s">
        <v>186</v>
      </c>
      <c r="B21" s="1" t="s">
        <v>158</v>
      </c>
      <c r="C21" s="1" t="s">
        <v>25</v>
      </c>
      <c r="D21" s="2">
        <v>46174</v>
      </c>
      <c r="E21" s="1" t="s">
        <v>134</v>
      </c>
      <c r="F21" s="1" t="s">
        <v>260</v>
      </c>
      <c r="G21" s="1"/>
      <c r="H21" s="12"/>
    </row>
    <row r="22" spans="1:8" x14ac:dyDescent="0.25">
      <c r="A22" s="11" t="s">
        <v>187</v>
      </c>
      <c r="B22" s="1" t="s">
        <v>161</v>
      </c>
      <c r="C22" s="1" t="s">
        <v>27</v>
      </c>
      <c r="D22" s="2">
        <v>46175</v>
      </c>
      <c r="E22" s="1" t="s">
        <v>134</v>
      </c>
      <c r="F22" s="1" t="s">
        <v>362</v>
      </c>
      <c r="G22" s="1"/>
      <c r="H22" s="12"/>
    </row>
    <row r="23" spans="1:8" x14ac:dyDescent="0.25">
      <c r="A23" s="11" t="s">
        <v>188</v>
      </c>
      <c r="B23" s="1" t="s">
        <v>162</v>
      </c>
      <c r="C23" s="1" t="s">
        <v>28</v>
      </c>
      <c r="D23" s="2">
        <v>46176</v>
      </c>
      <c r="E23" s="1" t="s">
        <v>135</v>
      </c>
      <c r="F23" s="1" t="s">
        <v>260</v>
      </c>
      <c r="G23" s="1"/>
      <c r="H23" s="12"/>
    </row>
    <row r="24" spans="1:8" x14ac:dyDescent="0.25">
      <c r="A24" s="11" t="s">
        <v>189</v>
      </c>
      <c r="B24" s="1" t="s">
        <v>162</v>
      </c>
      <c r="C24" s="1" t="s">
        <v>27</v>
      </c>
      <c r="D24" s="2">
        <v>46177</v>
      </c>
      <c r="E24" s="1" t="s">
        <v>135</v>
      </c>
      <c r="F24" s="1" t="s">
        <v>260</v>
      </c>
      <c r="G24" s="1"/>
      <c r="H24" s="12"/>
    </row>
    <row r="25" spans="1:8" x14ac:dyDescent="0.25">
      <c r="A25" s="11" t="s">
        <v>190</v>
      </c>
      <c r="B25" s="1" t="s">
        <v>162</v>
      </c>
      <c r="C25" s="1" t="s">
        <v>26</v>
      </c>
      <c r="D25" s="2">
        <v>46193</v>
      </c>
      <c r="E25" s="1" t="s">
        <v>135</v>
      </c>
      <c r="F25" s="1" t="s">
        <v>363</v>
      </c>
      <c r="G25" s="1"/>
      <c r="H25" s="12"/>
    </row>
    <row r="26" spans="1:8" x14ac:dyDescent="0.25">
      <c r="A26" s="11" t="s">
        <v>191</v>
      </c>
      <c r="B26" s="4" t="s">
        <v>162</v>
      </c>
      <c r="C26" s="4" t="s">
        <v>25</v>
      </c>
      <c r="D26" s="2">
        <v>46178</v>
      </c>
      <c r="E26" s="4" t="s">
        <v>135</v>
      </c>
      <c r="F26" s="1" t="s">
        <v>260</v>
      </c>
      <c r="G26" s="1"/>
      <c r="H26" s="12"/>
    </row>
    <row r="27" spans="1:8" x14ac:dyDescent="0.25">
      <c r="A27" s="11" t="s">
        <v>192</v>
      </c>
      <c r="B27" s="4" t="s">
        <v>162</v>
      </c>
      <c r="C27" s="4" t="s">
        <v>25</v>
      </c>
      <c r="D27" s="2">
        <v>46178</v>
      </c>
      <c r="E27" s="4" t="s">
        <v>134</v>
      </c>
      <c r="F27" s="1" t="s">
        <v>260</v>
      </c>
      <c r="G27" s="1"/>
      <c r="H27" s="12"/>
    </row>
    <row r="28" spans="1:8" x14ac:dyDescent="0.25">
      <c r="A28" s="11" t="s">
        <v>193</v>
      </c>
      <c r="B28" s="1" t="s">
        <v>166</v>
      </c>
      <c r="C28" s="1" t="s">
        <v>25</v>
      </c>
      <c r="D28" s="2">
        <v>46204</v>
      </c>
      <c r="E28" s="1" t="s">
        <v>134</v>
      </c>
      <c r="F28" s="1" t="s">
        <v>147</v>
      </c>
      <c r="G28" s="1"/>
      <c r="H28" s="12"/>
    </row>
    <row r="29" spans="1:8" x14ac:dyDescent="0.25">
      <c r="A29" s="11" t="s">
        <v>194</v>
      </c>
      <c r="B29" s="1" t="s">
        <v>170</v>
      </c>
      <c r="C29" s="1" t="s">
        <v>26</v>
      </c>
      <c r="D29" s="2">
        <v>46204</v>
      </c>
      <c r="E29" s="1" t="s">
        <v>134</v>
      </c>
      <c r="F29" s="1" t="s">
        <v>260</v>
      </c>
      <c r="G29" s="1"/>
      <c r="H29" s="12"/>
    </row>
    <row r="30" spans="1:8" x14ac:dyDescent="0.25">
      <c r="A30" s="11" t="s">
        <v>195</v>
      </c>
      <c r="B30" s="1" t="s">
        <v>174</v>
      </c>
      <c r="C30" s="1" t="s">
        <v>27</v>
      </c>
      <c r="D30" s="2">
        <v>46204</v>
      </c>
      <c r="E30" s="1" t="s">
        <v>134</v>
      </c>
      <c r="F30" s="1" t="s">
        <v>147</v>
      </c>
      <c r="G30" s="1"/>
      <c r="H30" s="12"/>
    </row>
    <row r="31" spans="1:8" x14ac:dyDescent="0.25">
      <c r="A31" s="11" t="s">
        <v>196</v>
      </c>
      <c r="B31" s="1" t="s">
        <v>178</v>
      </c>
      <c r="C31" s="1" t="s">
        <v>27</v>
      </c>
      <c r="D31" s="2">
        <v>46204</v>
      </c>
      <c r="E31" s="1" t="s">
        <v>134</v>
      </c>
      <c r="F31" s="1" t="s">
        <v>147</v>
      </c>
      <c r="G31" s="1"/>
      <c r="H31" s="12"/>
    </row>
    <row r="32" spans="1:8" x14ac:dyDescent="0.25">
      <c r="A32" s="11" t="s">
        <v>197</v>
      </c>
      <c r="B32" s="1" t="s">
        <v>182</v>
      </c>
      <c r="C32" s="1" t="s">
        <v>25</v>
      </c>
      <c r="D32" s="2">
        <v>46204</v>
      </c>
      <c r="E32" s="1" t="s">
        <v>134</v>
      </c>
      <c r="F32" s="1" t="s">
        <v>260</v>
      </c>
      <c r="G32" s="1"/>
      <c r="H32" s="12"/>
    </row>
    <row r="33" spans="1:8" x14ac:dyDescent="0.25">
      <c r="A33" s="11" t="s">
        <v>198</v>
      </c>
      <c r="B33" s="1" t="s">
        <v>185</v>
      </c>
      <c r="C33" s="1" t="s">
        <v>25</v>
      </c>
      <c r="D33" s="2">
        <v>46204</v>
      </c>
      <c r="E33" s="1" t="s">
        <v>134</v>
      </c>
      <c r="F33" s="1" t="s">
        <v>147</v>
      </c>
      <c r="G33" s="1"/>
      <c r="H33" s="12"/>
    </row>
    <row r="34" spans="1:8" x14ac:dyDescent="0.25">
      <c r="A34" s="11" t="s">
        <v>211</v>
      </c>
      <c r="B34" s="1" t="s">
        <v>75</v>
      </c>
      <c r="C34" s="1" t="s">
        <v>36</v>
      </c>
      <c r="D34" s="2">
        <v>46205</v>
      </c>
      <c r="E34" s="1" t="s">
        <v>134</v>
      </c>
      <c r="F34" s="1" t="s">
        <v>147</v>
      </c>
      <c r="G34" s="1"/>
      <c r="H34" s="12"/>
    </row>
    <row r="35" spans="1:8" x14ac:dyDescent="0.25">
      <c r="A35" s="11" t="s">
        <v>212</v>
      </c>
      <c r="B35" s="1" t="s">
        <v>75</v>
      </c>
      <c r="C35" s="1" t="s">
        <v>37</v>
      </c>
      <c r="D35" s="2">
        <v>46206</v>
      </c>
      <c r="E35" s="1" t="s">
        <v>134</v>
      </c>
      <c r="F35" s="1" t="s">
        <v>260</v>
      </c>
      <c r="G35" s="1"/>
      <c r="H35" s="12"/>
    </row>
    <row r="36" spans="1:8" x14ac:dyDescent="0.25">
      <c r="A36" s="11" t="s">
        <v>213</v>
      </c>
      <c r="B36" s="1" t="s">
        <v>103</v>
      </c>
      <c r="C36" s="1" t="s">
        <v>36</v>
      </c>
      <c r="D36" s="2">
        <v>46207</v>
      </c>
      <c r="E36" s="1" t="s">
        <v>134</v>
      </c>
      <c r="F36" s="1" t="s">
        <v>147</v>
      </c>
      <c r="G36" s="1"/>
      <c r="H36" s="12"/>
    </row>
    <row r="37" spans="1:8" x14ac:dyDescent="0.25">
      <c r="A37" s="11" t="s">
        <v>214</v>
      </c>
      <c r="B37" s="1" t="s">
        <v>153</v>
      </c>
      <c r="C37" s="1" t="s">
        <v>36</v>
      </c>
      <c r="D37" s="2">
        <v>46208</v>
      </c>
      <c r="E37" s="1" t="s">
        <v>135</v>
      </c>
      <c r="F37" s="1" t="s">
        <v>260</v>
      </c>
      <c r="G37" s="1"/>
      <c r="H37" s="12"/>
    </row>
    <row r="38" spans="1:8" x14ac:dyDescent="0.25">
      <c r="A38" s="11" t="s">
        <v>215</v>
      </c>
      <c r="B38" s="1" t="s">
        <v>177</v>
      </c>
      <c r="C38" s="1" t="s">
        <v>37</v>
      </c>
      <c r="D38" s="2">
        <v>46209</v>
      </c>
      <c r="E38" s="1" t="s">
        <v>135</v>
      </c>
      <c r="F38" s="1" t="s">
        <v>147</v>
      </c>
      <c r="G38" s="1"/>
      <c r="H38" s="12"/>
    </row>
    <row r="39" spans="1:8" x14ac:dyDescent="0.25">
      <c r="A39" s="11" t="s">
        <v>216</v>
      </c>
      <c r="B39" s="1" t="s">
        <v>181</v>
      </c>
      <c r="C39" s="1" t="s">
        <v>37</v>
      </c>
      <c r="D39" s="2">
        <v>46195</v>
      </c>
      <c r="E39" s="1" t="s">
        <v>134</v>
      </c>
      <c r="F39" s="1" t="s">
        <v>147</v>
      </c>
      <c r="G39" s="1"/>
      <c r="H39" s="12"/>
    </row>
    <row r="40" spans="1:8" x14ac:dyDescent="0.25">
      <c r="A40" s="11" t="s">
        <v>217</v>
      </c>
      <c r="B40" s="1" t="s">
        <v>79</v>
      </c>
      <c r="C40" s="1" t="s">
        <v>37</v>
      </c>
      <c r="D40" s="2">
        <v>46196</v>
      </c>
      <c r="E40" s="1" t="s">
        <v>134</v>
      </c>
      <c r="F40" s="1" t="s">
        <v>147</v>
      </c>
      <c r="G40" s="1"/>
      <c r="H40" s="12"/>
    </row>
    <row r="41" spans="1:8" x14ac:dyDescent="0.25">
      <c r="A41" s="11" t="s">
        <v>218</v>
      </c>
      <c r="B41" s="1" t="s">
        <v>87</v>
      </c>
      <c r="C41" s="1" t="s">
        <v>37</v>
      </c>
      <c r="D41" s="2">
        <v>46197</v>
      </c>
      <c r="E41" s="1" t="s">
        <v>134</v>
      </c>
      <c r="F41" s="1" t="s">
        <v>260</v>
      </c>
      <c r="G41" s="1"/>
      <c r="H41" s="12"/>
    </row>
    <row r="42" spans="1:8" x14ac:dyDescent="0.25">
      <c r="A42" s="11" t="s">
        <v>219</v>
      </c>
      <c r="B42" s="1" t="s">
        <v>91</v>
      </c>
      <c r="C42" s="1" t="s">
        <v>38</v>
      </c>
      <c r="D42" s="2">
        <v>46198</v>
      </c>
      <c r="E42" s="1" t="s">
        <v>134</v>
      </c>
      <c r="F42" s="1" t="s">
        <v>260</v>
      </c>
      <c r="G42" s="1"/>
      <c r="H42" s="12"/>
    </row>
    <row r="43" spans="1:8" x14ac:dyDescent="0.25">
      <c r="A43" s="11" t="s">
        <v>220</v>
      </c>
      <c r="B43" s="1" t="s">
        <v>95</v>
      </c>
      <c r="C43" s="1" t="s">
        <v>35</v>
      </c>
      <c r="D43" s="2">
        <v>46199</v>
      </c>
      <c r="E43" s="1" t="s">
        <v>134</v>
      </c>
      <c r="F43" s="1" t="s">
        <v>260</v>
      </c>
      <c r="G43" s="1"/>
      <c r="H43" s="12"/>
    </row>
    <row r="44" spans="1:8" x14ac:dyDescent="0.25">
      <c r="A44" s="11" t="s">
        <v>221</v>
      </c>
      <c r="B44" s="1" t="s">
        <v>95</v>
      </c>
      <c r="C44" s="1" t="s">
        <v>37</v>
      </c>
      <c r="D44" s="2">
        <v>46200</v>
      </c>
      <c r="E44" s="1" t="s">
        <v>134</v>
      </c>
      <c r="F44" s="1" t="s">
        <v>260</v>
      </c>
      <c r="G44" s="1"/>
      <c r="H44" s="12"/>
    </row>
    <row r="45" spans="1:8" x14ac:dyDescent="0.25">
      <c r="A45" s="11" t="s">
        <v>222</v>
      </c>
      <c r="B45" s="1" t="s">
        <v>99</v>
      </c>
      <c r="C45" s="1" t="s">
        <v>35</v>
      </c>
      <c r="D45" s="2">
        <v>46201</v>
      </c>
      <c r="E45" s="1" t="s">
        <v>134</v>
      </c>
      <c r="F45" s="1" t="s">
        <v>147</v>
      </c>
      <c r="G45" s="1"/>
      <c r="H45" s="12"/>
    </row>
    <row r="46" spans="1:8" x14ac:dyDescent="0.25">
      <c r="A46" s="11" t="s">
        <v>223</v>
      </c>
      <c r="B46" s="1" t="s">
        <v>157</v>
      </c>
      <c r="C46" s="1" t="s">
        <v>37</v>
      </c>
      <c r="D46" s="2">
        <v>46202</v>
      </c>
      <c r="E46" s="1" t="s">
        <v>134</v>
      </c>
      <c r="F46" s="1" t="s">
        <v>147</v>
      </c>
      <c r="G46" s="1"/>
      <c r="H46" s="12"/>
    </row>
    <row r="47" spans="1:8" x14ac:dyDescent="0.25">
      <c r="A47" s="11" t="s">
        <v>224</v>
      </c>
      <c r="B47" s="1" t="s">
        <v>165</v>
      </c>
      <c r="C47" s="1" t="s">
        <v>38</v>
      </c>
      <c r="D47" s="2">
        <v>46203</v>
      </c>
      <c r="E47" s="1" t="s">
        <v>134</v>
      </c>
      <c r="F47" s="1" t="s">
        <v>147</v>
      </c>
      <c r="G47" s="1"/>
      <c r="H47" s="12"/>
    </row>
    <row r="48" spans="1:8" x14ac:dyDescent="0.25">
      <c r="A48" s="11" t="s">
        <v>225</v>
      </c>
      <c r="B48" s="1" t="s">
        <v>169</v>
      </c>
      <c r="C48" s="1" t="s">
        <v>35</v>
      </c>
      <c r="D48" s="2">
        <v>46204</v>
      </c>
      <c r="E48" s="1" t="s">
        <v>134</v>
      </c>
      <c r="F48" s="1" t="s">
        <v>147</v>
      </c>
      <c r="G48" s="1"/>
      <c r="H48" s="12"/>
    </row>
    <row r="49" spans="1:8" x14ac:dyDescent="0.25">
      <c r="A49" s="11" t="s">
        <v>226</v>
      </c>
      <c r="B49" s="1" t="s">
        <v>173</v>
      </c>
      <c r="C49" s="1" t="s">
        <v>38</v>
      </c>
      <c r="D49" s="2">
        <v>46205</v>
      </c>
      <c r="E49" s="1" t="s">
        <v>134</v>
      </c>
      <c r="F49" s="1" t="s">
        <v>260</v>
      </c>
      <c r="G49" s="1"/>
      <c r="H49" s="12"/>
    </row>
    <row r="50" spans="1:8" x14ac:dyDescent="0.25">
      <c r="A50" s="11" t="s">
        <v>227</v>
      </c>
      <c r="B50" s="1" t="s">
        <v>78</v>
      </c>
      <c r="C50" s="1" t="s">
        <v>27</v>
      </c>
      <c r="D50" s="2">
        <v>46178</v>
      </c>
      <c r="E50" s="1" t="s">
        <v>134</v>
      </c>
      <c r="F50" s="1" t="s">
        <v>260</v>
      </c>
      <c r="G50" s="1"/>
      <c r="H50" s="12"/>
    </row>
    <row r="51" spans="1:8" x14ac:dyDescent="0.25">
      <c r="A51" s="11" t="s">
        <v>228</v>
      </c>
      <c r="B51" s="1" t="s">
        <v>82</v>
      </c>
      <c r="C51" s="1" t="s">
        <v>27</v>
      </c>
      <c r="D51" s="2">
        <v>46179</v>
      </c>
      <c r="E51" s="1" t="s">
        <v>134</v>
      </c>
      <c r="F51" s="1" t="s">
        <v>362</v>
      </c>
      <c r="G51" s="1"/>
      <c r="H51" s="12"/>
    </row>
    <row r="52" spans="1:8" x14ac:dyDescent="0.25">
      <c r="A52" s="11" t="s">
        <v>229</v>
      </c>
      <c r="B52" s="1" t="s">
        <v>86</v>
      </c>
      <c r="C52" s="1" t="s">
        <v>27</v>
      </c>
      <c r="D52" s="2">
        <v>46180</v>
      </c>
      <c r="E52" s="1" t="s">
        <v>134</v>
      </c>
      <c r="F52" s="1" t="s">
        <v>260</v>
      </c>
      <c r="G52" s="1"/>
      <c r="H52" s="12"/>
    </row>
    <row r="53" spans="1:8" x14ac:dyDescent="0.25">
      <c r="A53" s="11" t="s">
        <v>230</v>
      </c>
      <c r="B53" s="1" t="s">
        <v>90</v>
      </c>
      <c r="C53" s="1" t="s">
        <v>27</v>
      </c>
      <c r="D53" s="2">
        <v>46181</v>
      </c>
      <c r="E53" s="1" t="s">
        <v>134</v>
      </c>
      <c r="F53" s="1" t="s">
        <v>260</v>
      </c>
      <c r="G53" s="1"/>
      <c r="H53" s="12"/>
    </row>
    <row r="54" spans="1:8" x14ac:dyDescent="0.25">
      <c r="A54" s="11" t="s">
        <v>231</v>
      </c>
      <c r="B54" s="1" t="s">
        <v>94</v>
      </c>
      <c r="C54" s="1" t="s">
        <v>27</v>
      </c>
      <c r="D54" s="2">
        <v>46182</v>
      </c>
      <c r="E54" s="1" t="s">
        <v>134</v>
      </c>
      <c r="F54" s="1" t="s">
        <v>260</v>
      </c>
      <c r="G54" s="1"/>
      <c r="H54" s="12"/>
    </row>
    <row r="55" spans="1:8" x14ac:dyDescent="0.25">
      <c r="A55" s="11" t="s">
        <v>232</v>
      </c>
      <c r="B55" s="1" t="s">
        <v>98</v>
      </c>
      <c r="C55" s="1" t="s">
        <v>27</v>
      </c>
      <c r="D55" s="2">
        <v>46183</v>
      </c>
      <c r="E55" s="1" t="s">
        <v>134</v>
      </c>
      <c r="F55" s="1" t="s">
        <v>260</v>
      </c>
      <c r="G55" s="1"/>
      <c r="H55" s="12"/>
    </row>
    <row r="56" spans="1:8" x14ac:dyDescent="0.25">
      <c r="A56" s="11" t="s">
        <v>233</v>
      </c>
      <c r="B56" s="1" t="s">
        <v>102</v>
      </c>
      <c r="C56" s="1" t="s">
        <v>27</v>
      </c>
      <c r="D56" s="2">
        <v>46184</v>
      </c>
      <c r="E56" s="1" t="s">
        <v>134</v>
      </c>
      <c r="F56" s="1" t="s">
        <v>260</v>
      </c>
      <c r="G56" s="1"/>
      <c r="H56" s="12"/>
    </row>
    <row r="57" spans="1:8" x14ac:dyDescent="0.25">
      <c r="A57" s="11" t="s">
        <v>234</v>
      </c>
      <c r="B57" s="1" t="s">
        <v>106</v>
      </c>
      <c r="C57" s="1" t="s">
        <v>27</v>
      </c>
      <c r="D57" s="2">
        <v>46185</v>
      </c>
      <c r="E57" s="1" t="s">
        <v>134</v>
      </c>
      <c r="F57" s="1" t="s">
        <v>260</v>
      </c>
      <c r="G57" s="1"/>
      <c r="H57" s="12"/>
    </row>
    <row r="58" spans="1:8" x14ac:dyDescent="0.25">
      <c r="A58" s="11" t="s">
        <v>235</v>
      </c>
      <c r="B58" s="1" t="s">
        <v>156</v>
      </c>
      <c r="C58" s="1" t="s">
        <v>27</v>
      </c>
      <c r="D58" s="2">
        <v>46186</v>
      </c>
      <c r="E58" s="1" t="s">
        <v>135</v>
      </c>
      <c r="F58" s="1" t="s">
        <v>260</v>
      </c>
      <c r="G58" s="1"/>
      <c r="H58" s="12"/>
    </row>
    <row r="59" spans="1:8" x14ac:dyDescent="0.25">
      <c r="A59" s="11" t="s">
        <v>236</v>
      </c>
      <c r="B59" s="1" t="s">
        <v>160</v>
      </c>
      <c r="C59" s="1" t="s">
        <v>27</v>
      </c>
      <c r="D59" s="2">
        <v>46187</v>
      </c>
      <c r="E59" s="1" t="s">
        <v>134</v>
      </c>
      <c r="F59" s="1" t="s">
        <v>260</v>
      </c>
      <c r="G59" s="1"/>
      <c r="H59" s="12"/>
    </row>
    <row r="60" spans="1:8" x14ac:dyDescent="0.25">
      <c r="A60" s="11" t="s">
        <v>237</v>
      </c>
      <c r="B60" s="1" t="s">
        <v>164</v>
      </c>
      <c r="C60" s="1" t="s">
        <v>27</v>
      </c>
      <c r="D60" s="2">
        <v>46188</v>
      </c>
      <c r="E60" s="1" t="s">
        <v>135</v>
      </c>
      <c r="F60" s="1" t="s">
        <v>260</v>
      </c>
      <c r="G60" s="1"/>
      <c r="H60" s="12"/>
    </row>
    <row r="61" spans="1:8" x14ac:dyDescent="0.25">
      <c r="A61" s="11" t="s">
        <v>238</v>
      </c>
      <c r="B61" s="1" t="s">
        <v>168</v>
      </c>
      <c r="C61" s="1" t="s">
        <v>27</v>
      </c>
      <c r="D61" s="2">
        <v>46189</v>
      </c>
      <c r="E61" s="1" t="s">
        <v>134</v>
      </c>
      <c r="F61" s="1" t="s">
        <v>260</v>
      </c>
      <c r="G61" s="1"/>
      <c r="H61" s="12"/>
    </row>
    <row r="62" spans="1:8" x14ac:dyDescent="0.25">
      <c r="A62" s="11" t="s">
        <v>239</v>
      </c>
      <c r="B62" s="1" t="s">
        <v>172</v>
      </c>
      <c r="C62" s="1" t="s">
        <v>27</v>
      </c>
      <c r="D62" s="2">
        <v>46190</v>
      </c>
      <c r="E62" s="1" t="s">
        <v>134</v>
      </c>
      <c r="F62" s="1" t="s">
        <v>260</v>
      </c>
      <c r="G62" s="1"/>
      <c r="H62" s="12"/>
    </row>
    <row r="63" spans="1:8" x14ac:dyDescent="0.25">
      <c r="A63" s="11" t="s">
        <v>240</v>
      </c>
      <c r="B63" s="1" t="s">
        <v>176</v>
      </c>
      <c r="C63" s="1" t="s">
        <v>27</v>
      </c>
      <c r="D63" s="2">
        <v>46191</v>
      </c>
      <c r="E63" s="1" t="s">
        <v>135</v>
      </c>
      <c r="F63" s="1" t="s">
        <v>147</v>
      </c>
      <c r="G63" s="1"/>
      <c r="H63" s="12"/>
    </row>
    <row r="64" spans="1:8" x14ac:dyDescent="0.25">
      <c r="A64" s="11" t="s">
        <v>241</v>
      </c>
      <c r="B64" s="1" t="s">
        <v>180</v>
      </c>
      <c r="C64" s="1" t="s">
        <v>27</v>
      </c>
      <c r="D64" s="2">
        <v>46192</v>
      </c>
      <c r="E64" s="1" t="s">
        <v>134</v>
      </c>
      <c r="F64" s="1" t="s">
        <v>147</v>
      </c>
      <c r="G64" s="1"/>
      <c r="H64" s="12"/>
    </row>
    <row r="65" spans="1:8" x14ac:dyDescent="0.25">
      <c r="A65" s="11" t="s">
        <v>242</v>
      </c>
      <c r="B65" s="1" t="s">
        <v>184</v>
      </c>
      <c r="C65" s="1" t="s">
        <v>27</v>
      </c>
      <c r="D65" s="2">
        <v>46193</v>
      </c>
      <c r="E65" s="1" t="s">
        <v>134</v>
      </c>
      <c r="F65" s="1" t="s">
        <v>147</v>
      </c>
      <c r="G65" s="1"/>
      <c r="H65" s="12"/>
    </row>
    <row r="66" spans="1:8" x14ac:dyDescent="0.25">
      <c r="A66" s="11" t="s">
        <v>243</v>
      </c>
      <c r="B66" s="1" t="s">
        <v>81</v>
      </c>
      <c r="C66" s="1" t="s">
        <v>148</v>
      </c>
      <c r="D66" s="2">
        <v>46178</v>
      </c>
      <c r="E66" s="1" t="s">
        <v>134</v>
      </c>
      <c r="F66" s="1" t="s">
        <v>260</v>
      </c>
      <c r="G66" s="1"/>
      <c r="H66" s="12"/>
    </row>
    <row r="67" spans="1:8" x14ac:dyDescent="0.25">
      <c r="A67" s="11" t="s">
        <v>244</v>
      </c>
      <c r="B67" s="1" t="s">
        <v>85</v>
      </c>
      <c r="C67" s="1" t="s">
        <v>150</v>
      </c>
      <c r="D67" s="2">
        <v>46200</v>
      </c>
      <c r="E67" s="1" t="s">
        <v>134</v>
      </c>
      <c r="F67" s="1" t="s">
        <v>364</v>
      </c>
      <c r="G67" s="1"/>
      <c r="H67" s="12"/>
    </row>
    <row r="68" spans="1:8" x14ac:dyDescent="0.25">
      <c r="A68" s="11" t="s">
        <v>245</v>
      </c>
      <c r="B68" s="1" t="s">
        <v>101</v>
      </c>
      <c r="C68" s="1" t="s">
        <v>148</v>
      </c>
      <c r="D68" s="2">
        <v>46180</v>
      </c>
      <c r="E68" s="1" t="s">
        <v>134</v>
      </c>
      <c r="F68" s="1" t="s">
        <v>260</v>
      </c>
      <c r="G68" s="1"/>
      <c r="H68" s="12"/>
    </row>
    <row r="69" spans="1:8" x14ac:dyDescent="0.25">
      <c r="A69" s="11" t="s">
        <v>246</v>
      </c>
      <c r="B69" s="1" t="s">
        <v>101</v>
      </c>
      <c r="C69" s="1" t="s">
        <v>150</v>
      </c>
      <c r="D69" s="2">
        <v>46181</v>
      </c>
      <c r="E69" s="1" t="s">
        <v>135</v>
      </c>
      <c r="F69" s="1" t="s">
        <v>260</v>
      </c>
      <c r="G69" s="1"/>
      <c r="H69" s="12"/>
    </row>
    <row r="70" spans="1:8" x14ac:dyDescent="0.25">
      <c r="A70" s="11" t="s">
        <v>247</v>
      </c>
      <c r="B70" s="1" t="s">
        <v>155</v>
      </c>
      <c r="C70" s="1" t="s">
        <v>150</v>
      </c>
      <c r="D70" s="2">
        <v>46182</v>
      </c>
      <c r="E70" s="1" t="s">
        <v>135</v>
      </c>
      <c r="F70" s="1" t="s">
        <v>261</v>
      </c>
      <c r="G70" s="1" t="str">
        <f>F70</f>
        <v>Rejected</v>
      </c>
      <c r="H70" s="12"/>
    </row>
    <row r="71" spans="1:8" x14ac:dyDescent="0.25">
      <c r="A71" s="11" t="s">
        <v>248</v>
      </c>
      <c r="B71" s="1" t="s">
        <v>163</v>
      </c>
      <c r="C71" s="1" t="s">
        <v>148</v>
      </c>
      <c r="D71" s="2">
        <v>46183</v>
      </c>
      <c r="E71" s="1" t="s">
        <v>135</v>
      </c>
      <c r="F71" s="1" t="s">
        <v>260</v>
      </c>
      <c r="G71" s="1"/>
      <c r="H71" s="12"/>
    </row>
    <row r="72" spans="1:8" x14ac:dyDescent="0.25">
      <c r="A72" s="11" t="s">
        <v>249</v>
      </c>
      <c r="B72" s="1" t="s">
        <v>179</v>
      </c>
      <c r="C72" s="1" t="s">
        <v>148</v>
      </c>
      <c r="D72" s="2">
        <v>46184</v>
      </c>
      <c r="E72" s="1" t="s">
        <v>135</v>
      </c>
      <c r="F72" s="1" t="s">
        <v>260</v>
      </c>
      <c r="G72" s="1"/>
      <c r="H72" s="12"/>
    </row>
    <row r="73" spans="1:8" x14ac:dyDescent="0.25">
      <c r="A73" s="11" t="s">
        <v>250</v>
      </c>
      <c r="B73" s="1" t="s">
        <v>77</v>
      </c>
      <c r="C73" s="1" t="s">
        <v>38</v>
      </c>
      <c r="D73" s="2">
        <v>46192</v>
      </c>
      <c r="E73" s="1" t="s">
        <v>135</v>
      </c>
      <c r="F73" s="1" t="s">
        <v>147</v>
      </c>
      <c r="G73" s="1"/>
      <c r="H73" s="12"/>
    </row>
    <row r="74" spans="1:8" x14ac:dyDescent="0.25">
      <c r="A74" s="11" t="s">
        <v>251</v>
      </c>
      <c r="B74" s="1" t="s">
        <v>89</v>
      </c>
      <c r="C74" s="1" t="s">
        <v>151</v>
      </c>
      <c r="D74" s="2">
        <v>46193</v>
      </c>
      <c r="E74" s="1" t="s">
        <v>135</v>
      </c>
      <c r="F74" s="1" t="s">
        <v>261</v>
      </c>
      <c r="G74" s="1" t="str">
        <f>F74</f>
        <v>Rejected</v>
      </c>
      <c r="H74" s="12"/>
    </row>
    <row r="75" spans="1:8" x14ac:dyDescent="0.25">
      <c r="A75" s="11" t="s">
        <v>252</v>
      </c>
      <c r="B75" s="1" t="s">
        <v>93</v>
      </c>
      <c r="C75" s="1" t="s">
        <v>151</v>
      </c>
      <c r="D75" s="2">
        <v>46194</v>
      </c>
      <c r="E75" s="1" t="s">
        <v>135</v>
      </c>
      <c r="F75" s="1" t="s">
        <v>147</v>
      </c>
      <c r="G75" s="1"/>
      <c r="H75" s="12"/>
    </row>
    <row r="76" spans="1:8" x14ac:dyDescent="0.25">
      <c r="A76" s="11" t="s">
        <v>253</v>
      </c>
      <c r="B76" s="1" t="s">
        <v>97</v>
      </c>
      <c r="C76" s="1" t="s">
        <v>38</v>
      </c>
      <c r="D76" s="2">
        <v>46195</v>
      </c>
      <c r="E76" s="1" t="s">
        <v>134</v>
      </c>
      <c r="F76" s="1" t="s">
        <v>147</v>
      </c>
      <c r="G76" s="1"/>
      <c r="H76" s="12"/>
    </row>
    <row r="77" spans="1:8" x14ac:dyDescent="0.25">
      <c r="A77" s="11" t="s">
        <v>254</v>
      </c>
      <c r="B77" s="1" t="s">
        <v>105</v>
      </c>
      <c r="C77" s="1" t="s">
        <v>38</v>
      </c>
      <c r="D77" s="2">
        <v>46196</v>
      </c>
      <c r="E77" s="1" t="s">
        <v>134</v>
      </c>
      <c r="F77" s="1" t="s">
        <v>147</v>
      </c>
      <c r="G77" s="1"/>
      <c r="H77" s="12"/>
    </row>
    <row r="78" spans="1:8" x14ac:dyDescent="0.25">
      <c r="A78" s="11" t="s">
        <v>255</v>
      </c>
      <c r="B78" s="1" t="s">
        <v>159</v>
      </c>
      <c r="C78" s="1" t="s">
        <v>151</v>
      </c>
      <c r="D78" s="2">
        <v>46197</v>
      </c>
      <c r="E78" s="1" t="s">
        <v>134</v>
      </c>
      <c r="F78" s="1" t="s">
        <v>261</v>
      </c>
      <c r="G78" s="1" t="str">
        <f>F78</f>
        <v>Rejected</v>
      </c>
      <c r="H78" s="12"/>
    </row>
    <row r="79" spans="1:8" x14ac:dyDescent="0.25">
      <c r="A79" s="11" t="s">
        <v>256</v>
      </c>
      <c r="B79" s="1" t="s">
        <v>167</v>
      </c>
      <c r="C79" s="1" t="s">
        <v>38</v>
      </c>
      <c r="D79" s="2">
        <v>46198</v>
      </c>
      <c r="E79" s="1" t="s">
        <v>134</v>
      </c>
      <c r="F79" s="1" t="s">
        <v>147</v>
      </c>
      <c r="G79" s="1"/>
      <c r="H79" s="12"/>
    </row>
    <row r="80" spans="1:8" x14ac:dyDescent="0.25">
      <c r="A80" s="11" t="s">
        <v>257</v>
      </c>
      <c r="B80" s="1" t="s">
        <v>171</v>
      </c>
      <c r="C80" s="1" t="s">
        <v>151</v>
      </c>
      <c r="D80" s="2">
        <v>46199</v>
      </c>
      <c r="E80" s="1" t="s">
        <v>135</v>
      </c>
      <c r="F80" s="1" t="s">
        <v>147</v>
      </c>
      <c r="G80" s="1"/>
      <c r="H80" s="12"/>
    </row>
    <row r="81" spans="1:8" x14ac:dyDescent="0.25">
      <c r="A81" s="11" t="s">
        <v>258</v>
      </c>
      <c r="B81" s="1" t="s">
        <v>175</v>
      </c>
      <c r="C81" s="1" t="s">
        <v>151</v>
      </c>
      <c r="D81" s="2">
        <v>46200</v>
      </c>
      <c r="E81" s="1" t="s">
        <v>135</v>
      </c>
      <c r="F81" s="1" t="s">
        <v>261</v>
      </c>
      <c r="G81" s="1" t="str">
        <f>F81</f>
        <v>Rejected</v>
      </c>
      <c r="H81" s="12"/>
    </row>
    <row r="82" spans="1:8" x14ac:dyDescent="0.25">
      <c r="A82" s="11" t="s">
        <v>259</v>
      </c>
      <c r="B82" s="1" t="s">
        <v>183</v>
      </c>
      <c r="C82" s="1" t="s">
        <v>151</v>
      </c>
      <c r="D82" s="2">
        <v>46201</v>
      </c>
      <c r="E82" s="1" t="s">
        <v>135</v>
      </c>
      <c r="F82" s="1" t="s">
        <v>261</v>
      </c>
      <c r="G82" s="1" t="str">
        <f>F82</f>
        <v>Rejected</v>
      </c>
      <c r="H82" s="12"/>
    </row>
    <row r="83" spans="1:8" x14ac:dyDescent="0.25">
      <c r="A83" s="11" t="s">
        <v>354</v>
      </c>
      <c r="B83" s="1" t="s">
        <v>355</v>
      </c>
      <c r="C83" s="1" t="s">
        <v>357</v>
      </c>
      <c r="D83" s="2">
        <v>46205</v>
      </c>
      <c r="E83" s="1" t="s">
        <v>135</v>
      </c>
      <c r="F83" s="1" t="s">
        <v>361</v>
      </c>
      <c r="G83" s="1" t="s">
        <v>361</v>
      </c>
      <c r="H83" s="12"/>
    </row>
    <row r="84" spans="1:8" x14ac:dyDescent="0.25">
      <c r="A84" s="16" t="s">
        <v>371</v>
      </c>
      <c r="B84" s="6" t="s">
        <v>370</v>
      </c>
      <c r="C84" s="6" t="s">
        <v>33</v>
      </c>
      <c r="D84" s="7">
        <v>46233</v>
      </c>
      <c r="E84" s="6" t="s">
        <v>134</v>
      </c>
      <c r="F84" s="6" t="s">
        <v>361</v>
      </c>
      <c r="G84" s="6" t="s">
        <v>361</v>
      </c>
      <c r="H84" s="17"/>
    </row>
    <row r="85" spans="1:8" x14ac:dyDescent="0.25">
      <c r="A85" s="16" t="s">
        <v>411</v>
      </c>
      <c r="B85" s="6" t="s">
        <v>395</v>
      </c>
      <c r="C85" s="6" t="s">
        <v>399</v>
      </c>
      <c r="D85" s="7">
        <v>46114</v>
      </c>
      <c r="E85" s="6" t="s">
        <v>137</v>
      </c>
      <c r="F85" s="6" t="s">
        <v>261</v>
      </c>
      <c r="G85" s="6" t="s">
        <v>261</v>
      </c>
      <c r="H85" s="17"/>
    </row>
    <row r="86" spans="1:8" x14ac:dyDescent="0.25">
      <c r="A86" s="16" t="s">
        <v>412</v>
      </c>
      <c r="B86" s="6" t="s">
        <v>404</v>
      </c>
      <c r="C86" s="6" t="s">
        <v>399</v>
      </c>
      <c r="D86" s="7">
        <v>46156</v>
      </c>
      <c r="E86" s="6" t="s">
        <v>137</v>
      </c>
      <c r="F86" s="6" t="s">
        <v>261</v>
      </c>
      <c r="G86" s="6" t="s">
        <v>261</v>
      </c>
      <c r="H86" s="17"/>
    </row>
    <row r="87" spans="1:8" x14ac:dyDescent="0.25">
      <c r="A87" s="16" t="s">
        <v>413</v>
      </c>
      <c r="B87" s="6" t="s">
        <v>408</v>
      </c>
      <c r="C87" s="6" t="s">
        <v>399</v>
      </c>
      <c r="D87" s="7">
        <v>46157</v>
      </c>
      <c r="E87" s="6" t="s">
        <v>136</v>
      </c>
      <c r="F87" s="6" t="s">
        <v>361</v>
      </c>
      <c r="G87" s="6" t="s">
        <v>361</v>
      </c>
      <c r="H87" s="17"/>
    </row>
    <row r="88" spans="1:8" x14ac:dyDescent="0.25">
      <c r="A88" s="16" t="s">
        <v>420</v>
      </c>
      <c r="B88" s="6" t="s">
        <v>408</v>
      </c>
      <c r="C88" s="6" t="s">
        <v>399</v>
      </c>
      <c r="D88" s="7">
        <v>46128</v>
      </c>
      <c r="E88" s="6" t="s">
        <v>137</v>
      </c>
      <c r="F88" s="1" t="s">
        <v>260</v>
      </c>
      <c r="G88" s="1"/>
      <c r="H88" s="12"/>
    </row>
    <row r="89" spans="1:8" x14ac:dyDescent="0.25">
      <c r="A89" s="16" t="s">
        <v>421</v>
      </c>
      <c r="B89" s="6" t="s">
        <v>408</v>
      </c>
      <c r="C89" s="6" t="s">
        <v>399</v>
      </c>
      <c r="D89" s="7">
        <v>46159</v>
      </c>
      <c r="E89" s="6" t="s">
        <v>137</v>
      </c>
      <c r="F89" s="1" t="s">
        <v>260</v>
      </c>
      <c r="G89" s="1"/>
      <c r="H89" s="12"/>
    </row>
    <row r="90" spans="1:8" x14ac:dyDescent="0.25">
      <c r="D90" s="8"/>
    </row>
    <row r="91" spans="1:8" x14ac:dyDescent="0.25">
      <c r="D91" s="8"/>
    </row>
    <row r="92" spans="1:8" x14ac:dyDescent="0.25">
      <c r="D92" s="8"/>
    </row>
    <row r="93" spans="1:8" x14ac:dyDescent="0.25">
      <c r="D93" s="8"/>
    </row>
    <row r="94" spans="1:8" x14ac:dyDescent="0.25">
      <c r="D94" s="8"/>
    </row>
    <row r="95" spans="1:8" x14ac:dyDescent="0.25">
      <c r="D95" s="8"/>
    </row>
    <row r="96" spans="1:8" x14ac:dyDescent="0.25">
      <c r="D96" s="8"/>
    </row>
    <row r="97" spans="4:4" x14ac:dyDescent="0.25">
      <c r="D97" s="8"/>
    </row>
    <row r="98" spans="4:4" x14ac:dyDescent="0.25">
      <c r="D98" s="8"/>
    </row>
    <row r="99" spans="4:4" x14ac:dyDescent="0.25">
      <c r="D99" s="8"/>
    </row>
    <row r="100" spans="4:4" x14ac:dyDescent="0.25">
      <c r="D100" s="8"/>
    </row>
    <row r="101" spans="4:4" x14ac:dyDescent="0.25">
      <c r="D101" s="8"/>
    </row>
    <row r="102" spans="4:4" x14ac:dyDescent="0.25">
      <c r="D102" s="8"/>
    </row>
    <row r="103" spans="4:4" x14ac:dyDescent="0.25">
      <c r="D103" s="8"/>
    </row>
    <row r="104" spans="4:4" x14ac:dyDescent="0.25">
      <c r="D104" s="8"/>
    </row>
    <row r="105" spans="4:4" x14ac:dyDescent="0.25">
      <c r="D105" s="8"/>
    </row>
    <row r="106" spans="4:4" x14ac:dyDescent="0.25">
      <c r="D106" s="8"/>
    </row>
    <row r="107" spans="4:4" x14ac:dyDescent="0.25">
      <c r="D107" s="8"/>
    </row>
    <row r="108" spans="4:4" x14ac:dyDescent="0.25">
      <c r="D108" s="8"/>
    </row>
    <row r="109" spans="4:4" x14ac:dyDescent="0.25">
      <c r="D109" s="8"/>
    </row>
    <row r="110" spans="4:4" x14ac:dyDescent="0.25">
      <c r="D110" s="8"/>
    </row>
    <row r="111" spans="4:4" x14ac:dyDescent="0.25">
      <c r="D111" s="8"/>
    </row>
    <row r="112" spans="4:4" x14ac:dyDescent="0.25">
      <c r="D112" s="8"/>
    </row>
    <row r="113" spans="4:4" x14ac:dyDescent="0.25">
      <c r="D113" s="8"/>
    </row>
    <row r="114" spans="4:4" x14ac:dyDescent="0.25">
      <c r="D114" s="8"/>
    </row>
    <row r="115" spans="4:4" x14ac:dyDescent="0.25">
      <c r="D115" s="8"/>
    </row>
    <row r="116" spans="4:4" x14ac:dyDescent="0.25">
      <c r="D116" s="8"/>
    </row>
    <row r="117" spans="4:4" x14ac:dyDescent="0.25">
      <c r="D117" s="8"/>
    </row>
    <row r="118" spans="4:4" x14ac:dyDescent="0.25">
      <c r="D118" s="8"/>
    </row>
    <row r="119" spans="4:4" x14ac:dyDescent="0.25">
      <c r="D119" s="8"/>
    </row>
    <row r="120" spans="4:4" x14ac:dyDescent="0.25">
      <c r="D120" s="8"/>
    </row>
    <row r="121" spans="4:4" x14ac:dyDescent="0.25">
      <c r="D121" s="8"/>
    </row>
    <row r="122" spans="4:4" x14ac:dyDescent="0.25">
      <c r="D122" s="8"/>
    </row>
    <row r="123" spans="4:4" x14ac:dyDescent="0.25">
      <c r="D123" s="8"/>
    </row>
    <row r="124" spans="4:4" x14ac:dyDescent="0.25">
      <c r="D124" s="8"/>
    </row>
    <row r="125" spans="4:4" x14ac:dyDescent="0.25">
      <c r="D125" s="8"/>
    </row>
    <row r="126" spans="4:4" x14ac:dyDescent="0.25">
      <c r="D126" s="8"/>
    </row>
    <row r="127" spans="4:4" x14ac:dyDescent="0.25">
      <c r="D127" s="8"/>
    </row>
    <row r="128" spans="4:4" x14ac:dyDescent="0.25">
      <c r="D128" s="8"/>
    </row>
    <row r="129" spans="4:4" x14ac:dyDescent="0.25">
      <c r="D129" s="8"/>
    </row>
    <row r="130" spans="4:4" x14ac:dyDescent="0.25">
      <c r="D130" s="8"/>
    </row>
    <row r="131" spans="4:4" x14ac:dyDescent="0.25">
      <c r="D131" s="8"/>
    </row>
    <row r="132" spans="4:4" x14ac:dyDescent="0.25">
      <c r="D132" s="8"/>
    </row>
    <row r="133" spans="4:4" x14ac:dyDescent="0.25">
      <c r="D133" s="8"/>
    </row>
    <row r="134" spans="4:4" x14ac:dyDescent="0.25">
      <c r="D134" s="8"/>
    </row>
    <row r="135" spans="4:4" x14ac:dyDescent="0.25">
      <c r="D135" s="8"/>
    </row>
    <row r="136" spans="4:4" x14ac:dyDescent="0.25">
      <c r="D136" s="8"/>
    </row>
    <row r="137" spans="4:4" x14ac:dyDescent="0.25">
      <c r="D137" s="8"/>
    </row>
    <row r="138" spans="4:4" x14ac:dyDescent="0.25">
      <c r="D138" s="8"/>
    </row>
    <row r="139" spans="4:4" x14ac:dyDescent="0.25">
      <c r="D139" s="8"/>
    </row>
    <row r="140" spans="4:4" x14ac:dyDescent="0.25">
      <c r="D140" s="8"/>
    </row>
    <row r="141" spans="4:4" x14ac:dyDescent="0.25">
      <c r="D141" s="8"/>
    </row>
    <row r="142" spans="4:4" x14ac:dyDescent="0.25">
      <c r="D142" s="8"/>
    </row>
    <row r="143" spans="4:4" x14ac:dyDescent="0.25">
      <c r="D143" s="8"/>
    </row>
    <row r="144" spans="4:4" x14ac:dyDescent="0.25">
      <c r="D144" s="8"/>
    </row>
    <row r="145" spans="4:4" x14ac:dyDescent="0.25">
      <c r="D145" s="8"/>
    </row>
    <row r="146" spans="4:4" x14ac:dyDescent="0.25">
      <c r="D146" s="8"/>
    </row>
    <row r="147" spans="4:4" x14ac:dyDescent="0.25">
      <c r="D147" s="8"/>
    </row>
    <row r="148" spans="4:4" x14ac:dyDescent="0.25">
      <c r="D148" s="8"/>
    </row>
    <row r="149" spans="4:4" x14ac:dyDescent="0.25">
      <c r="D149" s="8"/>
    </row>
    <row r="150" spans="4:4" x14ac:dyDescent="0.25">
      <c r="D150" s="8"/>
    </row>
    <row r="151" spans="4:4" x14ac:dyDescent="0.25">
      <c r="D151" s="8"/>
    </row>
    <row r="152" spans="4:4" x14ac:dyDescent="0.25">
      <c r="D152" s="8"/>
    </row>
    <row r="153" spans="4:4" x14ac:dyDescent="0.25">
      <c r="D153" s="8"/>
    </row>
    <row r="154" spans="4:4" x14ac:dyDescent="0.25">
      <c r="D154" s="8"/>
    </row>
    <row r="155" spans="4:4" x14ac:dyDescent="0.25">
      <c r="D155" s="8"/>
    </row>
    <row r="156" spans="4:4" x14ac:dyDescent="0.25">
      <c r="D156" s="8"/>
    </row>
    <row r="157" spans="4:4" x14ac:dyDescent="0.25">
      <c r="D157" s="8"/>
    </row>
    <row r="158" spans="4:4" x14ac:dyDescent="0.25">
      <c r="D158" s="8"/>
    </row>
    <row r="159" spans="4:4" x14ac:dyDescent="0.25">
      <c r="D159" s="8"/>
    </row>
    <row r="160" spans="4:4" x14ac:dyDescent="0.25">
      <c r="D160" s="8"/>
    </row>
    <row r="161" spans="4:4" x14ac:dyDescent="0.25">
      <c r="D161" s="8"/>
    </row>
    <row r="162" spans="4:4" x14ac:dyDescent="0.25">
      <c r="D162" s="8"/>
    </row>
    <row r="163" spans="4:4" x14ac:dyDescent="0.25">
      <c r="D163" s="8"/>
    </row>
    <row r="164" spans="4:4" x14ac:dyDescent="0.25">
      <c r="D164" s="8"/>
    </row>
    <row r="165" spans="4:4" x14ac:dyDescent="0.25">
      <c r="D165" s="8"/>
    </row>
    <row r="166" spans="4:4" x14ac:dyDescent="0.25">
      <c r="D166" s="8"/>
    </row>
    <row r="167" spans="4:4" x14ac:dyDescent="0.25">
      <c r="D167" s="8"/>
    </row>
    <row r="168" spans="4:4" x14ac:dyDescent="0.25">
      <c r="D168" s="8"/>
    </row>
    <row r="169" spans="4:4" x14ac:dyDescent="0.25">
      <c r="D169" s="8"/>
    </row>
    <row r="170" spans="4:4" x14ac:dyDescent="0.25">
      <c r="D170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5818-CB7C-497A-B266-59DF56D117AD}">
  <dimension ref="A1:D189"/>
  <sheetViews>
    <sheetView tabSelected="1" topLeftCell="A163" workbookViewId="0">
      <selection activeCell="I182" sqref="I182"/>
    </sheetView>
  </sheetViews>
  <sheetFormatPr defaultRowHeight="15" x14ac:dyDescent="0.25"/>
  <cols>
    <col min="1" max="1" width="13.140625" bestFit="1" customWidth="1"/>
    <col min="2" max="2" width="12.85546875" customWidth="1"/>
    <col min="3" max="3" width="12.28515625" customWidth="1"/>
  </cols>
  <sheetData>
    <row r="1" spans="1:4" x14ac:dyDescent="0.25">
      <c r="A1" s="1" t="s">
        <v>17</v>
      </c>
      <c r="B1" s="1" t="s">
        <v>22</v>
      </c>
      <c r="C1" s="1" t="s">
        <v>23</v>
      </c>
      <c r="D1" s="1" t="s">
        <v>367</v>
      </c>
    </row>
    <row r="2" spans="1:4" x14ac:dyDescent="0.25">
      <c r="A2" s="1" t="s">
        <v>247</v>
      </c>
      <c r="B2" s="1" t="s">
        <v>147</v>
      </c>
      <c r="C2" s="2">
        <v>46182</v>
      </c>
      <c r="D2" s="1"/>
    </row>
    <row r="3" spans="1:4" x14ac:dyDescent="0.25">
      <c r="A3" s="1" t="s">
        <v>247</v>
      </c>
      <c r="B3" s="1" t="s">
        <v>260</v>
      </c>
      <c r="C3" s="2">
        <v>46182</v>
      </c>
      <c r="D3" s="1"/>
    </row>
    <row r="4" spans="1:4" x14ac:dyDescent="0.25">
      <c r="A4" s="1" t="s">
        <v>247</v>
      </c>
      <c r="B4" s="1" t="s">
        <v>261</v>
      </c>
      <c r="C4" s="2">
        <v>46182</v>
      </c>
      <c r="D4" s="1"/>
    </row>
    <row r="5" spans="1:4" x14ac:dyDescent="0.25">
      <c r="A5" s="1" t="s">
        <v>251</v>
      </c>
      <c r="B5" s="1" t="s">
        <v>147</v>
      </c>
      <c r="C5" s="2">
        <v>46193</v>
      </c>
      <c r="D5" s="1"/>
    </row>
    <row r="6" spans="1:4" x14ac:dyDescent="0.25">
      <c r="A6" s="1" t="s">
        <v>251</v>
      </c>
      <c r="B6" s="1" t="s">
        <v>260</v>
      </c>
      <c r="C6" s="2">
        <v>46194</v>
      </c>
      <c r="D6" s="1"/>
    </row>
    <row r="7" spans="1:4" x14ac:dyDescent="0.25">
      <c r="A7" s="1" t="s">
        <v>251</v>
      </c>
      <c r="B7" s="1" t="s">
        <v>362</v>
      </c>
      <c r="C7" s="2">
        <v>46200</v>
      </c>
      <c r="D7" s="1" t="s">
        <v>268</v>
      </c>
    </row>
    <row r="8" spans="1:4" x14ac:dyDescent="0.25">
      <c r="A8" s="1" t="s">
        <v>251</v>
      </c>
      <c r="B8" s="1" t="s">
        <v>261</v>
      </c>
      <c r="C8" s="2">
        <v>46211</v>
      </c>
      <c r="D8" s="1"/>
    </row>
    <row r="9" spans="1:4" x14ac:dyDescent="0.25">
      <c r="A9" s="1" t="s">
        <v>255</v>
      </c>
      <c r="B9" s="1" t="s">
        <v>147</v>
      </c>
      <c r="C9" s="2">
        <v>46197</v>
      </c>
      <c r="D9" s="1"/>
    </row>
    <row r="10" spans="1:4" x14ac:dyDescent="0.25">
      <c r="A10" s="1" t="s">
        <v>255</v>
      </c>
      <c r="B10" s="1" t="s">
        <v>260</v>
      </c>
      <c r="C10" s="2">
        <v>46197</v>
      </c>
      <c r="D10" s="1"/>
    </row>
    <row r="11" spans="1:4" x14ac:dyDescent="0.25">
      <c r="A11" s="1" t="s">
        <v>255</v>
      </c>
      <c r="B11" s="1" t="s">
        <v>362</v>
      </c>
      <c r="C11" s="2">
        <v>46205</v>
      </c>
      <c r="D11" s="1" t="s">
        <v>270</v>
      </c>
    </row>
    <row r="12" spans="1:4" x14ac:dyDescent="0.25">
      <c r="A12" s="1" t="s">
        <v>255</v>
      </c>
      <c r="B12" s="1" t="s">
        <v>261</v>
      </c>
      <c r="C12" s="2">
        <v>46211</v>
      </c>
      <c r="D12" s="1"/>
    </row>
    <row r="13" spans="1:4" x14ac:dyDescent="0.25">
      <c r="A13" s="1" t="s">
        <v>258</v>
      </c>
      <c r="B13" s="1" t="s">
        <v>147</v>
      </c>
      <c r="C13" s="2">
        <v>46200</v>
      </c>
      <c r="D13" s="1"/>
    </row>
    <row r="14" spans="1:4" x14ac:dyDescent="0.25">
      <c r="A14" s="1" t="s">
        <v>258</v>
      </c>
      <c r="B14" s="1" t="s">
        <v>260</v>
      </c>
      <c r="C14" s="2">
        <v>46203</v>
      </c>
      <c r="D14" s="1"/>
    </row>
    <row r="15" spans="1:4" x14ac:dyDescent="0.25">
      <c r="A15" s="1" t="s">
        <v>258</v>
      </c>
      <c r="B15" s="1" t="s">
        <v>261</v>
      </c>
      <c r="C15" s="2">
        <v>46204</v>
      </c>
      <c r="D15" s="1"/>
    </row>
    <row r="16" spans="1:4" x14ac:dyDescent="0.25">
      <c r="A16" s="1" t="s">
        <v>259</v>
      </c>
      <c r="B16" s="1" t="s">
        <v>147</v>
      </c>
      <c r="C16" s="2">
        <v>46201</v>
      </c>
      <c r="D16" s="1"/>
    </row>
    <row r="17" spans="1:4" x14ac:dyDescent="0.25">
      <c r="A17" s="1" t="s">
        <v>259</v>
      </c>
      <c r="B17" s="1" t="s">
        <v>260</v>
      </c>
      <c r="C17" s="2">
        <v>46203</v>
      </c>
      <c r="D17" s="1"/>
    </row>
    <row r="18" spans="1:4" x14ac:dyDescent="0.25">
      <c r="A18" s="1" t="s">
        <v>259</v>
      </c>
      <c r="B18" s="1" t="s">
        <v>261</v>
      </c>
      <c r="C18" s="2">
        <v>46203</v>
      </c>
      <c r="D18" s="1"/>
    </row>
    <row r="19" spans="1:4" x14ac:dyDescent="0.25">
      <c r="A19" s="1" t="s">
        <v>113</v>
      </c>
      <c r="B19" s="1" t="s">
        <v>147</v>
      </c>
      <c r="C19" s="2">
        <v>46204</v>
      </c>
      <c r="D19" s="1"/>
    </row>
    <row r="20" spans="1:4" x14ac:dyDescent="0.25">
      <c r="A20" s="1" t="s">
        <v>113</v>
      </c>
      <c r="B20" s="1" t="s">
        <v>260</v>
      </c>
      <c r="C20" s="2">
        <v>46205</v>
      </c>
      <c r="D20" s="1"/>
    </row>
    <row r="21" spans="1:4" x14ac:dyDescent="0.25">
      <c r="A21" s="1" t="s">
        <v>113</v>
      </c>
      <c r="B21" s="1" t="s">
        <v>362</v>
      </c>
      <c r="C21" s="2">
        <v>46211</v>
      </c>
      <c r="D21" s="1" t="s">
        <v>269</v>
      </c>
    </row>
    <row r="22" spans="1:4" x14ac:dyDescent="0.25">
      <c r="A22" s="1" t="s">
        <v>113</v>
      </c>
      <c r="B22" s="1" t="s">
        <v>363</v>
      </c>
      <c r="C22" s="2">
        <v>46218</v>
      </c>
      <c r="D22" s="1" t="s">
        <v>274</v>
      </c>
    </row>
    <row r="23" spans="1:4" x14ac:dyDescent="0.25">
      <c r="A23" s="1" t="s">
        <v>113</v>
      </c>
      <c r="B23" s="1" t="s">
        <v>364</v>
      </c>
      <c r="C23" s="2">
        <v>46227</v>
      </c>
      <c r="D23" s="1" t="s">
        <v>366</v>
      </c>
    </row>
    <row r="24" spans="1:4" x14ac:dyDescent="0.25">
      <c r="A24" s="1" t="s">
        <v>113</v>
      </c>
      <c r="B24" s="1" t="s">
        <v>365</v>
      </c>
      <c r="C24" s="2">
        <v>46231</v>
      </c>
      <c r="D24" s="1" t="s">
        <v>269</v>
      </c>
    </row>
    <row r="25" spans="1:4" x14ac:dyDescent="0.25">
      <c r="A25" s="1" t="s">
        <v>113</v>
      </c>
      <c r="B25" s="1" t="s">
        <v>361</v>
      </c>
      <c r="C25" s="2">
        <v>46233</v>
      </c>
      <c r="D25" s="1" t="s">
        <v>269</v>
      </c>
    </row>
    <row r="26" spans="1:4" x14ac:dyDescent="0.25">
      <c r="A26" s="1" t="s">
        <v>122</v>
      </c>
      <c r="B26" s="1" t="s">
        <v>147</v>
      </c>
      <c r="C26" s="2">
        <v>46178</v>
      </c>
      <c r="D26" s="1"/>
    </row>
    <row r="27" spans="1:4" x14ac:dyDescent="0.25">
      <c r="A27" s="1" t="s">
        <v>122</v>
      </c>
      <c r="B27" s="1" t="s">
        <v>260</v>
      </c>
      <c r="C27" s="2">
        <v>46179</v>
      </c>
      <c r="D27" s="1"/>
    </row>
    <row r="28" spans="1:4" x14ac:dyDescent="0.25">
      <c r="A28" s="1" t="s">
        <v>122</v>
      </c>
      <c r="B28" s="1" t="s">
        <v>362</v>
      </c>
      <c r="C28" s="2">
        <v>46185</v>
      </c>
      <c r="D28" s="1" t="s">
        <v>268</v>
      </c>
    </row>
    <row r="29" spans="1:4" x14ac:dyDescent="0.25">
      <c r="A29" s="1" t="s">
        <v>122</v>
      </c>
      <c r="B29" s="1" t="s">
        <v>363</v>
      </c>
      <c r="C29" s="2">
        <v>46191</v>
      </c>
      <c r="D29" s="1" t="s">
        <v>275</v>
      </c>
    </row>
    <row r="30" spans="1:4" x14ac:dyDescent="0.25">
      <c r="A30" s="1" t="s">
        <v>127</v>
      </c>
      <c r="B30" s="1" t="s">
        <v>147</v>
      </c>
      <c r="C30" s="2">
        <v>46174</v>
      </c>
      <c r="D30" s="1"/>
    </row>
    <row r="31" spans="1:4" x14ac:dyDescent="0.25">
      <c r="A31" s="1" t="s">
        <v>127</v>
      </c>
      <c r="B31" s="1" t="s">
        <v>260</v>
      </c>
      <c r="C31" s="2">
        <v>46175</v>
      </c>
      <c r="D31" s="1"/>
    </row>
    <row r="32" spans="1:4" x14ac:dyDescent="0.25">
      <c r="A32" s="1" t="s">
        <v>127</v>
      </c>
      <c r="B32" s="1" t="s">
        <v>362</v>
      </c>
      <c r="C32" s="2">
        <v>46183</v>
      </c>
      <c r="D32" s="1" t="s">
        <v>269</v>
      </c>
    </row>
    <row r="33" spans="1:4" x14ac:dyDescent="0.25">
      <c r="A33" s="1" t="s">
        <v>187</v>
      </c>
      <c r="B33" s="1" t="s">
        <v>147</v>
      </c>
      <c r="C33" s="2">
        <v>46175</v>
      </c>
      <c r="D33" s="1"/>
    </row>
    <row r="34" spans="1:4" x14ac:dyDescent="0.25">
      <c r="A34" s="1" t="s">
        <v>187</v>
      </c>
      <c r="B34" s="1" t="s">
        <v>260</v>
      </c>
      <c r="C34" s="2">
        <v>46176</v>
      </c>
      <c r="D34" s="1"/>
    </row>
    <row r="35" spans="1:4" x14ac:dyDescent="0.25">
      <c r="A35" s="1" t="s">
        <v>187</v>
      </c>
      <c r="B35" s="1" t="s">
        <v>362</v>
      </c>
      <c r="C35" s="2">
        <v>46183</v>
      </c>
      <c r="D35" s="1" t="s">
        <v>270</v>
      </c>
    </row>
    <row r="36" spans="1:4" x14ac:dyDescent="0.25">
      <c r="A36" s="1" t="s">
        <v>190</v>
      </c>
      <c r="B36" s="1" t="s">
        <v>147</v>
      </c>
      <c r="C36" s="2">
        <v>46178</v>
      </c>
      <c r="D36" s="1"/>
    </row>
    <row r="37" spans="1:4" x14ac:dyDescent="0.25">
      <c r="A37" s="1" t="s">
        <v>190</v>
      </c>
      <c r="B37" s="1" t="s">
        <v>260</v>
      </c>
      <c r="C37" s="2">
        <v>46179</v>
      </c>
      <c r="D37" s="1"/>
    </row>
    <row r="38" spans="1:4" x14ac:dyDescent="0.25">
      <c r="A38" s="1" t="s">
        <v>190</v>
      </c>
      <c r="B38" s="1" t="s">
        <v>362</v>
      </c>
      <c r="C38" s="2">
        <v>46187</v>
      </c>
      <c r="D38" s="1" t="s">
        <v>271</v>
      </c>
    </row>
    <row r="39" spans="1:4" x14ac:dyDescent="0.25">
      <c r="A39" s="1" t="s">
        <v>190</v>
      </c>
      <c r="B39" s="1" t="s">
        <v>363</v>
      </c>
      <c r="C39" s="2">
        <v>46193</v>
      </c>
      <c r="D39" s="1" t="s">
        <v>272</v>
      </c>
    </row>
    <row r="40" spans="1:4" x14ac:dyDescent="0.25">
      <c r="A40" s="1" t="s">
        <v>228</v>
      </c>
      <c r="B40" s="1" t="s">
        <v>147</v>
      </c>
      <c r="C40" s="2">
        <v>46179</v>
      </c>
      <c r="D40" s="1"/>
    </row>
    <row r="41" spans="1:4" x14ac:dyDescent="0.25">
      <c r="A41" s="1" t="s">
        <v>228</v>
      </c>
      <c r="B41" s="1" t="s">
        <v>260</v>
      </c>
      <c r="C41" s="2">
        <v>46180</v>
      </c>
      <c r="D41" s="1"/>
    </row>
    <row r="42" spans="1:4" x14ac:dyDescent="0.25">
      <c r="A42" s="1" t="s">
        <v>228</v>
      </c>
      <c r="B42" s="1" t="s">
        <v>362</v>
      </c>
      <c r="C42" s="2">
        <v>46188</v>
      </c>
      <c r="D42" s="1" t="s">
        <v>270</v>
      </c>
    </row>
    <row r="43" spans="1:4" x14ac:dyDescent="0.25">
      <c r="A43" s="1" t="s">
        <v>244</v>
      </c>
      <c r="B43" s="1" t="s">
        <v>147</v>
      </c>
      <c r="C43" s="2">
        <v>46179</v>
      </c>
      <c r="D43" s="1"/>
    </row>
    <row r="44" spans="1:4" x14ac:dyDescent="0.25">
      <c r="A44" s="1" t="s">
        <v>244</v>
      </c>
      <c r="B44" s="1" t="s">
        <v>260</v>
      </c>
      <c r="C44" s="2">
        <v>46180</v>
      </c>
      <c r="D44" s="1"/>
    </row>
    <row r="45" spans="1:4" x14ac:dyDescent="0.25">
      <c r="A45" s="1" t="s">
        <v>244</v>
      </c>
      <c r="B45" s="1" t="s">
        <v>362</v>
      </c>
      <c r="C45" s="2">
        <v>46188</v>
      </c>
      <c r="D45" s="1" t="s">
        <v>268</v>
      </c>
    </row>
    <row r="46" spans="1:4" x14ac:dyDescent="0.25">
      <c r="A46" s="1" t="s">
        <v>244</v>
      </c>
      <c r="B46" s="1" t="s">
        <v>363</v>
      </c>
      <c r="C46" s="2">
        <v>46195</v>
      </c>
      <c r="D46" s="1" t="s">
        <v>274</v>
      </c>
    </row>
    <row r="47" spans="1:4" x14ac:dyDescent="0.25">
      <c r="A47" s="1" t="s">
        <v>244</v>
      </c>
      <c r="B47" s="1" t="s">
        <v>364</v>
      </c>
      <c r="C47" s="2">
        <v>46200</v>
      </c>
      <c r="D47" s="1" t="s">
        <v>275</v>
      </c>
    </row>
    <row r="48" spans="1:4" x14ac:dyDescent="0.25">
      <c r="A48" s="1" t="s">
        <v>117</v>
      </c>
      <c r="B48" s="1" t="s">
        <v>147</v>
      </c>
      <c r="C48" s="2">
        <f>VLOOKUP(A48,Application!A:D,4,FALSE)</f>
        <v>46204</v>
      </c>
      <c r="D48" s="1"/>
    </row>
    <row r="49" spans="1:4" x14ac:dyDescent="0.25">
      <c r="A49" s="1" t="s">
        <v>117</v>
      </c>
      <c r="B49" s="1" t="s">
        <v>260</v>
      </c>
      <c r="C49" s="2">
        <f>VLOOKUP(A49,Application!A:D,4,FALSE)</f>
        <v>46204</v>
      </c>
      <c r="D49" s="1"/>
    </row>
    <row r="50" spans="1:4" x14ac:dyDescent="0.25">
      <c r="A50" s="1" t="s">
        <v>121</v>
      </c>
      <c r="B50" s="1" t="s">
        <v>147</v>
      </c>
      <c r="C50" s="2">
        <f>VLOOKUP(A50,Application!A:D,4,FALSE)</f>
        <v>46174</v>
      </c>
      <c r="D50" s="1"/>
    </row>
    <row r="51" spans="1:4" x14ac:dyDescent="0.25">
      <c r="A51" s="1" t="s">
        <v>121</v>
      </c>
      <c r="B51" s="1" t="s">
        <v>260</v>
      </c>
      <c r="C51" s="2">
        <f>VLOOKUP(A51,Application!A:D,4,FALSE)</f>
        <v>46174</v>
      </c>
      <c r="D51" s="1"/>
    </row>
    <row r="52" spans="1:4" x14ac:dyDescent="0.25">
      <c r="A52" s="1" t="s">
        <v>125</v>
      </c>
      <c r="B52" s="1" t="s">
        <v>147</v>
      </c>
      <c r="C52" s="2">
        <f>VLOOKUP(A52,Application!A:D,4,FALSE)</f>
        <v>46174</v>
      </c>
      <c r="D52" s="1"/>
    </row>
    <row r="53" spans="1:4" x14ac:dyDescent="0.25">
      <c r="A53" s="1" t="s">
        <v>125</v>
      </c>
      <c r="B53" s="1" t="s">
        <v>260</v>
      </c>
      <c r="C53" s="2">
        <f>VLOOKUP(A53,Application!A:D,4,FALSE)</f>
        <v>46174</v>
      </c>
      <c r="D53" s="1"/>
    </row>
    <row r="54" spans="1:4" x14ac:dyDescent="0.25">
      <c r="A54" s="1" t="s">
        <v>126</v>
      </c>
      <c r="B54" s="1" t="s">
        <v>147</v>
      </c>
      <c r="C54" s="2">
        <f>VLOOKUP(A54,Application!A:D,4,FALSE)</f>
        <v>46204</v>
      </c>
      <c r="D54" s="1"/>
    </row>
    <row r="55" spans="1:4" x14ac:dyDescent="0.25">
      <c r="A55" s="1" t="s">
        <v>126</v>
      </c>
      <c r="B55" s="1" t="s">
        <v>260</v>
      </c>
      <c r="C55" s="2">
        <f>VLOOKUP(A55,Application!A:D,4,FALSE)</f>
        <v>46204</v>
      </c>
      <c r="D55" s="1"/>
    </row>
    <row r="56" spans="1:4" x14ac:dyDescent="0.25">
      <c r="A56" s="1" t="s">
        <v>128</v>
      </c>
      <c r="B56" s="1" t="s">
        <v>147</v>
      </c>
      <c r="C56" s="2">
        <f>VLOOKUP(A56,Application!A:D,4,FALSE)</f>
        <v>46187</v>
      </c>
      <c r="D56" s="1"/>
    </row>
    <row r="57" spans="1:4" x14ac:dyDescent="0.25">
      <c r="A57" s="1" t="s">
        <v>128</v>
      </c>
      <c r="B57" s="1" t="s">
        <v>260</v>
      </c>
      <c r="C57" s="2">
        <f>VLOOKUP(A57,Application!A:D,4,FALSE)</f>
        <v>46187</v>
      </c>
      <c r="D57" s="1"/>
    </row>
    <row r="58" spans="1:4" x14ac:dyDescent="0.25">
      <c r="A58" s="1" t="s">
        <v>130</v>
      </c>
      <c r="B58" s="1" t="s">
        <v>147</v>
      </c>
      <c r="C58" s="2">
        <f>VLOOKUP(A58,Application!A:D,4,FALSE)</f>
        <v>46185</v>
      </c>
      <c r="D58" s="1"/>
    </row>
    <row r="59" spans="1:4" x14ac:dyDescent="0.25">
      <c r="A59" s="1" t="s">
        <v>130</v>
      </c>
      <c r="B59" s="1" t="s">
        <v>260</v>
      </c>
      <c r="C59" s="2">
        <f>VLOOKUP(A59,Application!A:D,4,FALSE)</f>
        <v>46185</v>
      </c>
      <c r="D59" s="1"/>
    </row>
    <row r="60" spans="1:4" x14ac:dyDescent="0.25">
      <c r="A60" s="1" t="s">
        <v>186</v>
      </c>
      <c r="B60" s="1" t="s">
        <v>147</v>
      </c>
      <c r="C60" s="2">
        <f>VLOOKUP(A60,Application!A:D,4,FALSE)</f>
        <v>46174</v>
      </c>
      <c r="D60" s="1"/>
    </row>
    <row r="61" spans="1:4" x14ac:dyDescent="0.25">
      <c r="A61" s="1" t="s">
        <v>186</v>
      </c>
      <c r="B61" s="1" t="s">
        <v>260</v>
      </c>
      <c r="C61" s="2">
        <f>VLOOKUP(A61,Application!A:D,4,FALSE)</f>
        <v>46174</v>
      </c>
      <c r="D61" s="1"/>
    </row>
    <row r="62" spans="1:4" x14ac:dyDescent="0.25">
      <c r="A62" s="1" t="s">
        <v>188</v>
      </c>
      <c r="B62" s="1" t="s">
        <v>147</v>
      </c>
      <c r="C62" s="2">
        <f>VLOOKUP(A62,Application!A:D,4,FALSE)</f>
        <v>46176</v>
      </c>
      <c r="D62" s="1"/>
    </row>
    <row r="63" spans="1:4" x14ac:dyDescent="0.25">
      <c r="A63" s="1" t="s">
        <v>188</v>
      </c>
      <c r="B63" s="1" t="s">
        <v>260</v>
      </c>
      <c r="C63" s="2">
        <f>VLOOKUP(A63,Application!A:D,4,FALSE)</f>
        <v>46176</v>
      </c>
      <c r="D63" s="1"/>
    </row>
    <row r="64" spans="1:4" x14ac:dyDescent="0.25">
      <c r="A64" s="1" t="s">
        <v>189</v>
      </c>
      <c r="B64" s="1" t="s">
        <v>147</v>
      </c>
      <c r="C64" s="2">
        <f>VLOOKUP(A64,Application!A:D,4,FALSE)</f>
        <v>46177</v>
      </c>
      <c r="D64" s="1"/>
    </row>
    <row r="65" spans="1:4" x14ac:dyDescent="0.25">
      <c r="A65" s="1" t="s">
        <v>189</v>
      </c>
      <c r="B65" s="1" t="s">
        <v>260</v>
      </c>
      <c r="C65" s="2">
        <f>VLOOKUP(A65,Application!A:D,4,FALSE)</f>
        <v>46177</v>
      </c>
      <c r="D65" s="1"/>
    </row>
    <row r="66" spans="1:4" x14ac:dyDescent="0.25">
      <c r="A66" s="1" t="s">
        <v>191</v>
      </c>
      <c r="B66" s="1" t="s">
        <v>147</v>
      </c>
      <c r="C66" s="2">
        <f>VLOOKUP(A66,Application!A:D,4,FALSE)</f>
        <v>46178</v>
      </c>
      <c r="D66" s="1"/>
    </row>
    <row r="67" spans="1:4" x14ac:dyDescent="0.25">
      <c r="A67" s="1" t="s">
        <v>191</v>
      </c>
      <c r="B67" s="1" t="s">
        <v>260</v>
      </c>
      <c r="C67" s="2">
        <f>VLOOKUP(A67,Application!A:D,4,FALSE)</f>
        <v>46178</v>
      </c>
      <c r="D67" s="1"/>
    </row>
    <row r="68" spans="1:4" x14ac:dyDescent="0.25">
      <c r="A68" s="1" t="s">
        <v>192</v>
      </c>
      <c r="B68" s="1" t="s">
        <v>147</v>
      </c>
      <c r="C68" s="2">
        <f>VLOOKUP(A68,Application!A:D,4,FALSE)</f>
        <v>46178</v>
      </c>
      <c r="D68" s="1"/>
    </row>
    <row r="69" spans="1:4" x14ac:dyDescent="0.25">
      <c r="A69" s="1" t="s">
        <v>192</v>
      </c>
      <c r="B69" s="1" t="s">
        <v>260</v>
      </c>
      <c r="C69" s="2">
        <f>VLOOKUP(A69,Application!A:D,4,FALSE)</f>
        <v>46178</v>
      </c>
      <c r="D69" s="1"/>
    </row>
    <row r="70" spans="1:4" x14ac:dyDescent="0.25">
      <c r="A70" s="1" t="s">
        <v>194</v>
      </c>
      <c r="B70" s="1" t="s">
        <v>147</v>
      </c>
      <c r="C70" s="2">
        <f>VLOOKUP(A70,Application!A:D,4,FALSE)</f>
        <v>46204</v>
      </c>
      <c r="D70" s="1"/>
    </row>
    <row r="71" spans="1:4" x14ac:dyDescent="0.25">
      <c r="A71" s="1" t="s">
        <v>194</v>
      </c>
      <c r="B71" s="1" t="s">
        <v>260</v>
      </c>
      <c r="C71" s="2">
        <f>VLOOKUP(A71,Application!A:D,4,FALSE)</f>
        <v>46204</v>
      </c>
      <c r="D71" s="1"/>
    </row>
    <row r="72" spans="1:4" x14ac:dyDescent="0.25">
      <c r="A72" s="1" t="s">
        <v>197</v>
      </c>
      <c r="B72" s="1" t="s">
        <v>147</v>
      </c>
      <c r="C72" s="2">
        <f>VLOOKUP(A72,Application!A:D,4,FALSE)</f>
        <v>46204</v>
      </c>
      <c r="D72" s="1"/>
    </row>
    <row r="73" spans="1:4" x14ac:dyDescent="0.25">
      <c r="A73" s="1" t="s">
        <v>197</v>
      </c>
      <c r="B73" s="1" t="s">
        <v>260</v>
      </c>
      <c r="C73" s="2">
        <f>VLOOKUP(A73,Application!A:D,4,FALSE)</f>
        <v>46204</v>
      </c>
      <c r="D73" s="1"/>
    </row>
    <row r="74" spans="1:4" x14ac:dyDescent="0.25">
      <c r="A74" s="1" t="s">
        <v>212</v>
      </c>
      <c r="B74" s="1" t="s">
        <v>147</v>
      </c>
      <c r="C74" s="2">
        <f>VLOOKUP(A74,Application!A:D,4,FALSE)</f>
        <v>46206</v>
      </c>
      <c r="D74" s="1"/>
    </row>
    <row r="75" spans="1:4" x14ac:dyDescent="0.25">
      <c r="A75" s="1" t="s">
        <v>212</v>
      </c>
      <c r="B75" s="1" t="s">
        <v>260</v>
      </c>
      <c r="C75" s="2">
        <f>VLOOKUP(A75,Application!A:D,4,FALSE)</f>
        <v>46206</v>
      </c>
      <c r="D75" s="1"/>
    </row>
    <row r="76" spans="1:4" x14ac:dyDescent="0.25">
      <c r="A76" s="1" t="s">
        <v>214</v>
      </c>
      <c r="B76" s="1" t="s">
        <v>147</v>
      </c>
      <c r="C76" s="2">
        <f>VLOOKUP(A76,Application!A:D,4,FALSE)</f>
        <v>46208</v>
      </c>
      <c r="D76" s="1"/>
    </row>
    <row r="77" spans="1:4" x14ac:dyDescent="0.25">
      <c r="A77" s="1" t="s">
        <v>214</v>
      </c>
      <c r="B77" s="1" t="s">
        <v>260</v>
      </c>
      <c r="C77" s="2">
        <f>VLOOKUP(A77,Application!A:D,4,FALSE)</f>
        <v>46208</v>
      </c>
      <c r="D77" s="1"/>
    </row>
    <row r="78" spans="1:4" x14ac:dyDescent="0.25">
      <c r="A78" s="1" t="s">
        <v>218</v>
      </c>
      <c r="B78" s="1" t="s">
        <v>147</v>
      </c>
      <c r="C78" s="2">
        <f>VLOOKUP(A78,Application!A:D,4,FALSE)</f>
        <v>46197</v>
      </c>
      <c r="D78" s="1"/>
    </row>
    <row r="79" spans="1:4" x14ac:dyDescent="0.25">
      <c r="A79" s="1" t="s">
        <v>218</v>
      </c>
      <c r="B79" s="1" t="s">
        <v>260</v>
      </c>
      <c r="C79" s="2">
        <f>VLOOKUP(A79,Application!A:D,4,FALSE)</f>
        <v>46197</v>
      </c>
      <c r="D79" s="1"/>
    </row>
    <row r="80" spans="1:4" x14ac:dyDescent="0.25">
      <c r="A80" s="1" t="s">
        <v>219</v>
      </c>
      <c r="B80" s="1" t="s">
        <v>147</v>
      </c>
      <c r="C80" s="2">
        <f>VLOOKUP(A80,Application!A:D,4,FALSE)</f>
        <v>46198</v>
      </c>
      <c r="D80" s="1"/>
    </row>
    <row r="81" spans="1:4" x14ac:dyDescent="0.25">
      <c r="A81" s="1" t="s">
        <v>219</v>
      </c>
      <c r="B81" s="1" t="s">
        <v>260</v>
      </c>
      <c r="C81" s="2">
        <f>VLOOKUP(A81,Application!A:D,4,FALSE)</f>
        <v>46198</v>
      </c>
      <c r="D81" s="1"/>
    </row>
    <row r="82" spans="1:4" x14ac:dyDescent="0.25">
      <c r="A82" s="1" t="s">
        <v>220</v>
      </c>
      <c r="B82" s="1" t="s">
        <v>147</v>
      </c>
      <c r="C82" s="2">
        <f>VLOOKUP(A82,Application!A:D,4,FALSE)</f>
        <v>46199</v>
      </c>
      <c r="D82" s="1"/>
    </row>
    <row r="83" spans="1:4" x14ac:dyDescent="0.25">
      <c r="A83" s="1" t="s">
        <v>220</v>
      </c>
      <c r="B83" s="1" t="s">
        <v>260</v>
      </c>
      <c r="C83" s="2">
        <f>VLOOKUP(A83,Application!A:D,4,FALSE)</f>
        <v>46199</v>
      </c>
      <c r="D83" s="1"/>
    </row>
    <row r="84" spans="1:4" x14ac:dyDescent="0.25">
      <c r="A84" s="1" t="s">
        <v>221</v>
      </c>
      <c r="B84" s="1" t="s">
        <v>147</v>
      </c>
      <c r="C84" s="2">
        <f>VLOOKUP(A84,Application!A:D,4,FALSE)</f>
        <v>46200</v>
      </c>
      <c r="D84" s="1"/>
    </row>
    <row r="85" spans="1:4" x14ac:dyDescent="0.25">
      <c r="A85" s="1" t="s">
        <v>221</v>
      </c>
      <c r="B85" s="1" t="s">
        <v>260</v>
      </c>
      <c r="C85" s="2">
        <f>VLOOKUP(A85,Application!A:D,4,FALSE)</f>
        <v>46200</v>
      </c>
      <c r="D85" s="1"/>
    </row>
    <row r="86" spans="1:4" x14ac:dyDescent="0.25">
      <c r="A86" s="1" t="s">
        <v>226</v>
      </c>
      <c r="B86" s="1" t="s">
        <v>147</v>
      </c>
      <c r="C86" s="2">
        <f>VLOOKUP(A86,Application!A:D,4,FALSE)</f>
        <v>46205</v>
      </c>
      <c r="D86" s="1"/>
    </row>
    <row r="87" spans="1:4" x14ac:dyDescent="0.25">
      <c r="A87" s="1" t="s">
        <v>226</v>
      </c>
      <c r="B87" s="1" t="s">
        <v>260</v>
      </c>
      <c r="C87" s="2">
        <f>VLOOKUP(A87,Application!A:D,4,FALSE)</f>
        <v>46205</v>
      </c>
      <c r="D87" s="1"/>
    </row>
    <row r="88" spans="1:4" x14ac:dyDescent="0.25">
      <c r="A88" s="1" t="s">
        <v>227</v>
      </c>
      <c r="B88" s="1" t="s">
        <v>147</v>
      </c>
      <c r="C88" s="2">
        <f>VLOOKUP(A88,Application!A:D,4,FALSE)</f>
        <v>46178</v>
      </c>
      <c r="D88" s="1"/>
    </row>
    <row r="89" spans="1:4" x14ac:dyDescent="0.25">
      <c r="A89" s="1" t="s">
        <v>227</v>
      </c>
      <c r="B89" s="1" t="s">
        <v>260</v>
      </c>
      <c r="C89" s="2">
        <f>VLOOKUP(A89,Application!A:D,4,FALSE)</f>
        <v>46178</v>
      </c>
      <c r="D89" s="1"/>
    </row>
    <row r="90" spans="1:4" x14ac:dyDescent="0.25">
      <c r="A90" s="1" t="s">
        <v>229</v>
      </c>
      <c r="B90" s="1" t="s">
        <v>147</v>
      </c>
      <c r="C90" s="2">
        <f>VLOOKUP(A90,Application!A:D,4,FALSE)</f>
        <v>46180</v>
      </c>
      <c r="D90" s="1"/>
    </row>
    <row r="91" spans="1:4" x14ac:dyDescent="0.25">
      <c r="A91" s="1" t="s">
        <v>229</v>
      </c>
      <c r="B91" s="1" t="s">
        <v>260</v>
      </c>
      <c r="C91" s="2">
        <f>VLOOKUP(A91,Application!A:D,4,FALSE)</f>
        <v>46180</v>
      </c>
      <c r="D91" s="1"/>
    </row>
    <row r="92" spans="1:4" x14ac:dyDescent="0.25">
      <c r="A92" s="1" t="s">
        <v>230</v>
      </c>
      <c r="B92" s="1" t="s">
        <v>147</v>
      </c>
      <c r="C92" s="2">
        <f>VLOOKUP(A92,Application!A:D,4,FALSE)</f>
        <v>46181</v>
      </c>
      <c r="D92" s="1"/>
    </row>
    <row r="93" spans="1:4" x14ac:dyDescent="0.25">
      <c r="A93" s="1" t="s">
        <v>230</v>
      </c>
      <c r="B93" s="1" t="s">
        <v>260</v>
      </c>
      <c r="C93" s="2">
        <f>VLOOKUP(A93,Application!A:D,4,FALSE)</f>
        <v>46181</v>
      </c>
      <c r="D93" s="1"/>
    </row>
    <row r="94" spans="1:4" x14ac:dyDescent="0.25">
      <c r="A94" s="1" t="s">
        <v>231</v>
      </c>
      <c r="B94" s="1" t="s">
        <v>147</v>
      </c>
      <c r="C94" s="2">
        <f>VLOOKUP(A94,Application!A:D,4,FALSE)</f>
        <v>46182</v>
      </c>
      <c r="D94" s="1"/>
    </row>
    <row r="95" spans="1:4" x14ac:dyDescent="0.25">
      <c r="A95" s="1" t="s">
        <v>231</v>
      </c>
      <c r="B95" s="1" t="s">
        <v>260</v>
      </c>
      <c r="C95" s="2">
        <f>VLOOKUP(A95,Application!A:D,4,FALSE)</f>
        <v>46182</v>
      </c>
      <c r="D95" s="1"/>
    </row>
    <row r="96" spans="1:4" x14ac:dyDescent="0.25">
      <c r="A96" s="1" t="s">
        <v>232</v>
      </c>
      <c r="B96" s="1" t="s">
        <v>147</v>
      </c>
      <c r="C96" s="2">
        <f>VLOOKUP(A96,Application!A:D,4,FALSE)</f>
        <v>46183</v>
      </c>
      <c r="D96" s="1"/>
    </row>
    <row r="97" spans="1:4" x14ac:dyDescent="0.25">
      <c r="A97" s="1" t="s">
        <v>232</v>
      </c>
      <c r="B97" s="1" t="s">
        <v>260</v>
      </c>
      <c r="C97" s="2">
        <f>VLOOKUP(A97,Application!A:D,4,FALSE)</f>
        <v>46183</v>
      </c>
      <c r="D97" s="1"/>
    </row>
    <row r="98" spans="1:4" x14ac:dyDescent="0.25">
      <c r="A98" s="1" t="s">
        <v>233</v>
      </c>
      <c r="B98" s="1" t="s">
        <v>147</v>
      </c>
      <c r="C98" s="2">
        <f>VLOOKUP(A98,Application!A:D,4,FALSE)</f>
        <v>46184</v>
      </c>
      <c r="D98" s="1"/>
    </row>
    <row r="99" spans="1:4" x14ac:dyDescent="0.25">
      <c r="A99" s="1" t="s">
        <v>233</v>
      </c>
      <c r="B99" s="1" t="s">
        <v>260</v>
      </c>
      <c r="C99" s="2">
        <f>VLOOKUP(A99,Application!A:D,4,FALSE)</f>
        <v>46184</v>
      </c>
      <c r="D99" s="1"/>
    </row>
    <row r="100" spans="1:4" x14ac:dyDescent="0.25">
      <c r="A100" s="1" t="s">
        <v>234</v>
      </c>
      <c r="B100" s="1" t="s">
        <v>147</v>
      </c>
      <c r="C100" s="2">
        <f>VLOOKUP(A100,Application!A:D,4,FALSE)</f>
        <v>46185</v>
      </c>
      <c r="D100" s="1"/>
    </row>
    <row r="101" spans="1:4" x14ac:dyDescent="0.25">
      <c r="A101" s="1" t="s">
        <v>234</v>
      </c>
      <c r="B101" s="1" t="s">
        <v>260</v>
      </c>
      <c r="C101" s="2">
        <f>VLOOKUP(A101,Application!A:D,4,FALSE)</f>
        <v>46185</v>
      </c>
      <c r="D101" s="1"/>
    </row>
    <row r="102" spans="1:4" x14ac:dyDescent="0.25">
      <c r="A102" s="1" t="s">
        <v>235</v>
      </c>
      <c r="B102" s="1" t="s">
        <v>147</v>
      </c>
      <c r="C102" s="2">
        <f>VLOOKUP(A102,Application!A:D,4,FALSE)</f>
        <v>46186</v>
      </c>
      <c r="D102" s="1"/>
    </row>
    <row r="103" spans="1:4" x14ac:dyDescent="0.25">
      <c r="A103" s="1" t="s">
        <v>235</v>
      </c>
      <c r="B103" s="1" t="s">
        <v>260</v>
      </c>
      <c r="C103" s="2">
        <f>VLOOKUP(A103,Application!A:D,4,FALSE)</f>
        <v>46186</v>
      </c>
      <c r="D103" s="1"/>
    </row>
    <row r="104" spans="1:4" x14ac:dyDescent="0.25">
      <c r="A104" s="1" t="s">
        <v>236</v>
      </c>
      <c r="B104" s="1" t="s">
        <v>147</v>
      </c>
      <c r="C104" s="2">
        <f>VLOOKUP(A104,Application!A:D,4,FALSE)</f>
        <v>46187</v>
      </c>
      <c r="D104" s="1"/>
    </row>
    <row r="105" spans="1:4" x14ac:dyDescent="0.25">
      <c r="A105" s="1" t="s">
        <v>236</v>
      </c>
      <c r="B105" s="1" t="s">
        <v>260</v>
      </c>
      <c r="C105" s="2">
        <f>VLOOKUP(A105,Application!A:D,4,FALSE)</f>
        <v>46187</v>
      </c>
      <c r="D105" s="1"/>
    </row>
    <row r="106" spans="1:4" x14ac:dyDescent="0.25">
      <c r="A106" s="1" t="s">
        <v>237</v>
      </c>
      <c r="B106" s="1" t="s">
        <v>147</v>
      </c>
      <c r="C106" s="2">
        <f>VLOOKUP(A106,Application!A:D,4,FALSE)</f>
        <v>46188</v>
      </c>
      <c r="D106" s="1"/>
    </row>
    <row r="107" spans="1:4" x14ac:dyDescent="0.25">
      <c r="A107" s="1" t="s">
        <v>237</v>
      </c>
      <c r="B107" s="1" t="s">
        <v>260</v>
      </c>
      <c r="C107" s="2">
        <f>VLOOKUP(A107,Application!A:D,4,FALSE)</f>
        <v>46188</v>
      </c>
      <c r="D107" s="1"/>
    </row>
    <row r="108" spans="1:4" x14ac:dyDescent="0.25">
      <c r="A108" s="1" t="s">
        <v>238</v>
      </c>
      <c r="B108" s="1" t="s">
        <v>147</v>
      </c>
      <c r="C108" s="2">
        <f>VLOOKUP(A108,Application!A:D,4,FALSE)</f>
        <v>46189</v>
      </c>
      <c r="D108" s="1"/>
    </row>
    <row r="109" spans="1:4" x14ac:dyDescent="0.25">
      <c r="A109" s="1" t="s">
        <v>238</v>
      </c>
      <c r="B109" s="1" t="s">
        <v>260</v>
      </c>
      <c r="C109" s="2">
        <f>VLOOKUP(A109,Application!A:D,4,FALSE)</f>
        <v>46189</v>
      </c>
      <c r="D109" s="1"/>
    </row>
    <row r="110" spans="1:4" x14ac:dyDescent="0.25">
      <c r="A110" s="1" t="s">
        <v>239</v>
      </c>
      <c r="B110" s="1" t="s">
        <v>147</v>
      </c>
      <c r="C110" s="2">
        <f>VLOOKUP(A110,Application!A:D,4,FALSE)</f>
        <v>46190</v>
      </c>
      <c r="D110" s="1"/>
    </row>
    <row r="111" spans="1:4" x14ac:dyDescent="0.25">
      <c r="A111" s="1" t="s">
        <v>239</v>
      </c>
      <c r="B111" s="1" t="s">
        <v>260</v>
      </c>
      <c r="C111" s="2">
        <f>VLOOKUP(A111,Application!A:D,4,FALSE)</f>
        <v>46190</v>
      </c>
      <c r="D111" s="1"/>
    </row>
    <row r="112" spans="1:4" x14ac:dyDescent="0.25">
      <c r="A112" s="1" t="s">
        <v>243</v>
      </c>
      <c r="B112" s="1" t="s">
        <v>147</v>
      </c>
      <c r="C112" s="2">
        <f>VLOOKUP(A112,Application!A:D,4,FALSE)</f>
        <v>46178</v>
      </c>
      <c r="D112" s="1"/>
    </row>
    <row r="113" spans="1:4" x14ac:dyDescent="0.25">
      <c r="A113" s="1" t="s">
        <v>243</v>
      </c>
      <c r="B113" s="1" t="s">
        <v>260</v>
      </c>
      <c r="C113" s="2">
        <f>VLOOKUP(A113,Application!A:D,4,FALSE)</f>
        <v>46178</v>
      </c>
      <c r="D113" s="1"/>
    </row>
    <row r="114" spans="1:4" x14ac:dyDescent="0.25">
      <c r="A114" s="1" t="s">
        <v>245</v>
      </c>
      <c r="B114" s="1" t="s">
        <v>147</v>
      </c>
      <c r="C114" s="2">
        <f>VLOOKUP(A114,Application!A:D,4,FALSE)</f>
        <v>46180</v>
      </c>
      <c r="D114" s="1"/>
    </row>
    <row r="115" spans="1:4" x14ac:dyDescent="0.25">
      <c r="A115" s="1" t="s">
        <v>245</v>
      </c>
      <c r="B115" s="1" t="s">
        <v>260</v>
      </c>
      <c r="C115" s="2">
        <f>VLOOKUP(A115,Application!A:D,4,FALSE)</f>
        <v>46180</v>
      </c>
      <c r="D115" s="1"/>
    </row>
    <row r="116" spans="1:4" x14ac:dyDescent="0.25">
      <c r="A116" s="1" t="s">
        <v>246</v>
      </c>
      <c r="B116" s="1" t="s">
        <v>147</v>
      </c>
      <c r="C116" s="2">
        <f>VLOOKUP(A116,Application!A:D,4,FALSE)</f>
        <v>46181</v>
      </c>
      <c r="D116" s="1"/>
    </row>
    <row r="117" spans="1:4" x14ac:dyDescent="0.25">
      <c r="A117" s="1" t="s">
        <v>246</v>
      </c>
      <c r="B117" s="1" t="s">
        <v>260</v>
      </c>
      <c r="C117" s="2">
        <f>VLOOKUP(A117,Application!A:D,4,FALSE)</f>
        <v>46181</v>
      </c>
      <c r="D117" s="1"/>
    </row>
    <row r="118" spans="1:4" x14ac:dyDescent="0.25">
      <c r="A118" s="1" t="s">
        <v>248</v>
      </c>
      <c r="B118" s="1" t="s">
        <v>147</v>
      </c>
      <c r="C118" s="2">
        <f>VLOOKUP(A118,Application!A:D,4,FALSE)</f>
        <v>46183</v>
      </c>
      <c r="D118" s="1"/>
    </row>
    <row r="119" spans="1:4" x14ac:dyDescent="0.25">
      <c r="A119" s="1" t="s">
        <v>248</v>
      </c>
      <c r="B119" s="1" t="s">
        <v>260</v>
      </c>
      <c r="C119" s="2">
        <f>VLOOKUP(A119,Application!A:D,4,FALSE)</f>
        <v>46183</v>
      </c>
      <c r="D119" s="1"/>
    </row>
    <row r="120" spans="1:4" x14ac:dyDescent="0.25">
      <c r="A120" s="1" t="s">
        <v>249</v>
      </c>
      <c r="B120" s="1" t="s">
        <v>147</v>
      </c>
      <c r="C120" s="2">
        <f>VLOOKUP(A120,Application!A:D,4,FALSE)</f>
        <v>46184</v>
      </c>
      <c r="D120" s="1"/>
    </row>
    <row r="121" spans="1:4" x14ac:dyDescent="0.25">
      <c r="A121" s="1" t="s">
        <v>249</v>
      </c>
      <c r="B121" s="1" t="s">
        <v>260</v>
      </c>
      <c r="C121" s="2">
        <f>VLOOKUP(A121,Application!A:D,4,FALSE)</f>
        <v>46184</v>
      </c>
      <c r="D121" s="1"/>
    </row>
    <row r="122" spans="1:4" x14ac:dyDescent="0.25">
      <c r="A122" s="1" t="s">
        <v>114</v>
      </c>
      <c r="B122" s="1" t="s">
        <v>147</v>
      </c>
      <c r="C122" s="2">
        <f>VLOOKUP(A122,Application!A:D,4,FALSE)</f>
        <v>46205</v>
      </c>
      <c r="D122" s="1"/>
    </row>
    <row r="123" spans="1:4" x14ac:dyDescent="0.25">
      <c r="A123" s="1" t="s">
        <v>115</v>
      </c>
      <c r="B123" s="1" t="s">
        <v>147</v>
      </c>
      <c r="C123" s="2">
        <f>VLOOKUP(A123,Application!A:D,4,FALSE)</f>
        <v>46204</v>
      </c>
      <c r="D123" s="1"/>
    </row>
    <row r="124" spans="1:4" x14ac:dyDescent="0.25">
      <c r="A124" s="1" t="s">
        <v>116</v>
      </c>
      <c r="B124" s="1" t="s">
        <v>147</v>
      </c>
      <c r="C124" s="2">
        <f>VLOOKUP(A124,Application!A:D,4,FALSE)</f>
        <v>46204</v>
      </c>
      <c r="D124" s="1"/>
    </row>
    <row r="125" spans="1:4" x14ac:dyDescent="0.25">
      <c r="A125" s="1" t="s">
        <v>118</v>
      </c>
      <c r="B125" s="1" t="s">
        <v>147</v>
      </c>
      <c r="C125" s="2">
        <f>VLOOKUP(A125,Application!A:D,4,FALSE)</f>
        <v>46204</v>
      </c>
      <c r="D125" s="1"/>
    </row>
    <row r="126" spans="1:4" x14ac:dyDescent="0.25">
      <c r="A126" s="1" t="s">
        <v>119</v>
      </c>
      <c r="B126" s="1" t="s">
        <v>147</v>
      </c>
      <c r="C126" s="2">
        <f>VLOOKUP(A126,Application!A:D,4,FALSE)</f>
        <v>46204</v>
      </c>
      <c r="D126" s="1"/>
    </row>
    <row r="127" spans="1:4" x14ac:dyDescent="0.25">
      <c r="A127" s="1" t="s">
        <v>120</v>
      </c>
      <c r="B127" s="1" t="s">
        <v>147</v>
      </c>
      <c r="C127" s="2">
        <f>VLOOKUP(A127,Application!A:D,4,FALSE)</f>
        <v>46204</v>
      </c>
      <c r="D127" s="1"/>
    </row>
    <row r="128" spans="1:4" x14ac:dyDescent="0.25">
      <c r="A128" s="1" t="s">
        <v>123</v>
      </c>
      <c r="B128" s="1" t="s">
        <v>147</v>
      </c>
      <c r="C128" s="2">
        <f>VLOOKUP(A128,Application!A:D,4,FALSE)</f>
        <v>46192</v>
      </c>
      <c r="D128" s="1"/>
    </row>
    <row r="129" spans="1:4" x14ac:dyDescent="0.25">
      <c r="A129" s="1" t="s">
        <v>124</v>
      </c>
      <c r="B129" s="1" t="s">
        <v>147</v>
      </c>
      <c r="C129" s="2">
        <f>VLOOKUP(A129,Application!A:D,4,FALSE)</f>
        <v>46194</v>
      </c>
      <c r="D129" s="1"/>
    </row>
    <row r="130" spans="1:4" x14ac:dyDescent="0.25">
      <c r="A130" s="1" t="s">
        <v>129</v>
      </c>
      <c r="B130" s="1" t="s">
        <v>147</v>
      </c>
      <c r="C130" s="2">
        <f>VLOOKUP(A130,Application!A:D,4,FALSE)</f>
        <v>46191</v>
      </c>
      <c r="D130" s="1"/>
    </row>
    <row r="131" spans="1:4" x14ac:dyDescent="0.25">
      <c r="A131" s="1" t="s">
        <v>131</v>
      </c>
      <c r="B131" s="1" t="s">
        <v>147</v>
      </c>
      <c r="C131" s="2">
        <f>VLOOKUP(A131,Application!A:D,4,FALSE)</f>
        <v>46195</v>
      </c>
      <c r="D131" s="1"/>
    </row>
    <row r="132" spans="1:4" x14ac:dyDescent="0.25">
      <c r="A132" s="1" t="s">
        <v>193</v>
      </c>
      <c r="B132" s="1" t="s">
        <v>147</v>
      </c>
      <c r="C132" s="2">
        <f>VLOOKUP(A132,Application!A:D,4,FALSE)</f>
        <v>46204</v>
      </c>
      <c r="D132" s="1"/>
    </row>
    <row r="133" spans="1:4" x14ac:dyDescent="0.25">
      <c r="A133" s="1" t="s">
        <v>195</v>
      </c>
      <c r="B133" s="1" t="s">
        <v>147</v>
      </c>
      <c r="C133" s="2">
        <f>VLOOKUP(A133,Application!A:D,4,FALSE)</f>
        <v>46204</v>
      </c>
      <c r="D133" s="1"/>
    </row>
    <row r="134" spans="1:4" x14ac:dyDescent="0.25">
      <c r="A134" s="1" t="s">
        <v>196</v>
      </c>
      <c r="B134" s="1" t="s">
        <v>147</v>
      </c>
      <c r="C134" s="2">
        <f>VLOOKUP(A134,Application!A:D,4,FALSE)</f>
        <v>46204</v>
      </c>
      <c r="D134" s="1"/>
    </row>
    <row r="135" spans="1:4" x14ac:dyDescent="0.25">
      <c r="A135" s="1" t="s">
        <v>198</v>
      </c>
      <c r="B135" s="1" t="s">
        <v>147</v>
      </c>
      <c r="C135" s="2">
        <f>VLOOKUP(A135,Application!A:D,4,FALSE)</f>
        <v>46204</v>
      </c>
      <c r="D135" s="1"/>
    </row>
    <row r="136" spans="1:4" x14ac:dyDescent="0.25">
      <c r="A136" s="1" t="s">
        <v>211</v>
      </c>
      <c r="B136" s="1" t="s">
        <v>147</v>
      </c>
      <c r="C136" s="2">
        <f>VLOOKUP(A136,Application!A:D,4,FALSE)</f>
        <v>46205</v>
      </c>
      <c r="D136" s="1"/>
    </row>
    <row r="137" spans="1:4" x14ac:dyDescent="0.25">
      <c r="A137" s="1" t="s">
        <v>213</v>
      </c>
      <c r="B137" s="1" t="s">
        <v>147</v>
      </c>
      <c r="C137" s="2">
        <f>VLOOKUP(A137,Application!A:D,4,FALSE)</f>
        <v>46207</v>
      </c>
      <c r="D137" s="1"/>
    </row>
    <row r="138" spans="1:4" x14ac:dyDescent="0.25">
      <c r="A138" s="1" t="s">
        <v>215</v>
      </c>
      <c r="B138" s="1" t="s">
        <v>147</v>
      </c>
      <c r="C138" s="2">
        <f>VLOOKUP(A138,Application!A:D,4,FALSE)</f>
        <v>46209</v>
      </c>
      <c r="D138" s="1"/>
    </row>
    <row r="139" spans="1:4" x14ac:dyDescent="0.25">
      <c r="A139" s="1" t="s">
        <v>216</v>
      </c>
      <c r="B139" s="1" t="s">
        <v>147</v>
      </c>
      <c r="C139" s="2">
        <f>VLOOKUP(A139,Application!A:D,4,FALSE)</f>
        <v>46195</v>
      </c>
      <c r="D139" s="1"/>
    </row>
    <row r="140" spans="1:4" x14ac:dyDescent="0.25">
      <c r="A140" s="1" t="s">
        <v>217</v>
      </c>
      <c r="B140" s="1" t="s">
        <v>147</v>
      </c>
      <c r="C140" s="2">
        <f>VLOOKUP(A140,Application!A:D,4,FALSE)</f>
        <v>46196</v>
      </c>
      <c r="D140" s="1"/>
    </row>
    <row r="141" spans="1:4" x14ac:dyDescent="0.25">
      <c r="A141" s="1" t="s">
        <v>222</v>
      </c>
      <c r="B141" s="1" t="s">
        <v>147</v>
      </c>
      <c r="C141" s="2">
        <f>VLOOKUP(A141,Application!A:D,4,FALSE)</f>
        <v>46201</v>
      </c>
      <c r="D141" s="1"/>
    </row>
    <row r="142" spans="1:4" x14ac:dyDescent="0.25">
      <c r="A142" s="1" t="s">
        <v>223</v>
      </c>
      <c r="B142" s="1" t="s">
        <v>147</v>
      </c>
      <c r="C142" s="2">
        <f>VLOOKUP(A142,Application!A:D,4,FALSE)</f>
        <v>46202</v>
      </c>
      <c r="D142" s="1"/>
    </row>
    <row r="143" spans="1:4" x14ac:dyDescent="0.25">
      <c r="A143" s="1" t="s">
        <v>224</v>
      </c>
      <c r="B143" s="1" t="s">
        <v>147</v>
      </c>
      <c r="C143" s="2">
        <f>VLOOKUP(A143,Application!A:D,4,FALSE)</f>
        <v>46203</v>
      </c>
      <c r="D143" s="1"/>
    </row>
    <row r="144" spans="1:4" x14ac:dyDescent="0.25">
      <c r="A144" s="1" t="s">
        <v>225</v>
      </c>
      <c r="B144" s="1" t="s">
        <v>147</v>
      </c>
      <c r="C144" s="2">
        <f>VLOOKUP(A144,Application!A:D,4,FALSE)</f>
        <v>46204</v>
      </c>
      <c r="D144" s="1"/>
    </row>
    <row r="145" spans="1:4" x14ac:dyDescent="0.25">
      <c r="A145" s="1" t="s">
        <v>240</v>
      </c>
      <c r="B145" s="1" t="s">
        <v>147</v>
      </c>
      <c r="C145" s="2">
        <f>VLOOKUP(A145,Application!A:D,4,FALSE)</f>
        <v>46191</v>
      </c>
      <c r="D145" s="1"/>
    </row>
    <row r="146" spans="1:4" x14ac:dyDescent="0.25">
      <c r="A146" s="1" t="s">
        <v>241</v>
      </c>
      <c r="B146" s="1" t="s">
        <v>147</v>
      </c>
      <c r="C146" s="2">
        <f>VLOOKUP(A146,Application!A:D,4,FALSE)</f>
        <v>46192</v>
      </c>
      <c r="D146" s="1"/>
    </row>
    <row r="147" spans="1:4" x14ac:dyDescent="0.25">
      <c r="A147" s="1" t="s">
        <v>242</v>
      </c>
      <c r="B147" s="1" t="s">
        <v>147</v>
      </c>
      <c r="C147" s="2">
        <f>VLOOKUP(A147,Application!A:D,4,FALSE)</f>
        <v>46193</v>
      </c>
      <c r="D147" s="1"/>
    </row>
    <row r="148" spans="1:4" x14ac:dyDescent="0.25">
      <c r="A148" s="1" t="s">
        <v>250</v>
      </c>
      <c r="B148" s="1" t="s">
        <v>147</v>
      </c>
      <c r="C148" s="2">
        <f>VLOOKUP(A148,Application!A:D,4,FALSE)</f>
        <v>46192</v>
      </c>
      <c r="D148" s="1"/>
    </row>
    <row r="149" spans="1:4" x14ac:dyDescent="0.25">
      <c r="A149" s="1" t="s">
        <v>252</v>
      </c>
      <c r="B149" s="1" t="s">
        <v>147</v>
      </c>
      <c r="C149" s="2">
        <f>VLOOKUP(A149,Application!A:D,4,FALSE)</f>
        <v>46194</v>
      </c>
      <c r="D149" s="1"/>
    </row>
    <row r="150" spans="1:4" x14ac:dyDescent="0.25">
      <c r="A150" s="1" t="s">
        <v>253</v>
      </c>
      <c r="B150" s="1" t="s">
        <v>147</v>
      </c>
      <c r="C150" s="2">
        <f>VLOOKUP(A150,Application!A:D,4,FALSE)</f>
        <v>46195</v>
      </c>
      <c r="D150" s="1"/>
    </row>
    <row r="151" spans="1:4" x14ac:dyDescent="0.25">
      <c r="A151" s="1" t="s">
        <v>254</v>
      </c>
      <c r="B151" s="1" t="s">
        <v>147</v>
      </c>
      <c r="C151" s="2">
        <f>VLOOKUP(A151,Application!A:D,4,FALSE)</f>
        <v>46196</v>
      </c>
      <c r="D151" s="1"/>
    </row>
    <row r="152" spans="1:4" x14ac:dyDescent="0.25">
      <c r="A152" s="1" t="s">
        <v>256</v>
      </c>
      <c r="B152" s="1" t="s">
        <v>147</v>
      </c>
      <c r="C152" s="2">
        <f>VLOOKUP(A152,Application!A:D,4,FALSE)</f>
        <v>46198</v>
      </c>
      <c r="D152" s="1"/>
    </row>
    <row r="153" spans="1:4" x14ac:dyDescent="0.25">
      <c r="A153" s="1" t="s">
        <v>257</v>
      </c>
      <c r="B153" s="1" t="s">
        <v>147</v>
      </c>
      <c r="C153" s="2">
        <f>VLOOKUP(A153,Application!A:D,4,FALSE)</f>
        <v>46199</v>
      </c>
      <c r="D153" s="1"/>
    </row>
    <row r="154" spans="1:4" x14ac:dyDescent="0.25">
      <c r="A154" s="1" t="s">
        <v>354</v>
      </c>
      <c r="B154" s="1" t="s">
        <v>147</v>
      </c>
      <c r="C154" s="2">
        <v>46168</v>
      </c>
      <c r="D154" s="1"/>
    </row>
    <row r="155" spans="1:4" x14ac:dyDescent="0.25">
      <c r="A155" s="1" t="s">
        <v>354</v>
      </c>
      <c r="B155" s="1" t="s">
        <v>260</v>
      </c>
      <c r="C155" s="2">
        <v>46169</v>
      </c>
      <c r="D155" s="1"/>
    </row>
    <row r="156" spans="1:4" x14ac:dyDescent="0.25">
      <c r="A156" s="1" t="s">
        <v>354</v>
      </c>
      <c r="B156" s="1" t="s">
        <v>362</v>
      </c>
      <c r="C156" s="2">
        <v>46178</v>
      </c>
      <c r="D156" s="1" t="s">
        <v>268</v>
      </c>
    </row>
    <row r="157" spans="1:4" x14ac:dyDescent="0.25">
      <c r="A157" s="1" t="s">
        <v>354</v>
      </c>
      <c r="B157" s="1" t="s">
        <v>363</v>
      </c>
      <c r="C157" s="2">
        <v>46185</v>
      </c>
      <c r="D157" s="1" t="s">
        <v>274</v>
      </c>
    </row>
    <row r="158" spans="1:4" x14ac:dyDescent="0.25">
      <c r="A158" s="1" t="s">
        <v>354</v>
      </c>
      <c r="B158" s="1" t="s">
        <v>364</v>
      </c>
      <c r="C158" s="2">
        <v>46192</v>
      </c>
      <c r="D158" s="1" t="s">
        <v>275</v>
      </c>
    </row>
    <row r="159" spans="1:4" x14ac:dyDescent="0.25">
      <c r="A159" s="1" t="s">
        <v>354</v>
      </c>
      <c r="B159" s="1" t="s">
        <v>365</v>
      </c>
      <c r="C159" s="2">
        <v>46195</v>
      </c>
      <c r="D159" s="1"/>
    </row>
    <row r="160" spans="1:4" x14ac:dyDescent="0.25">
      <c r="A160" s="1" t="s">
        <v>354</v>
      </c>
      <c r="B160" s="1" t="s">
        <v>361</v>
      </c>
      <c r="C160" s="2">
        <v>46205</v>
      </c>
      <c r="D160" s="1"/>
    </row>
    <row r="161" spans="1:4" x14ac:dyDescent="0.25">
      <c r="A161" s="1" t="s">
        <v>371</v>
      </c>
      <c r="B161" s="1" t="s">
        <v>147</v>
      </c>
      <c r="C161" s="2">
        <v>46199</v>
      </c>
      <c r="D161" s="1"/>
    </row>
    <row r="162" spans="1:4" x14ac:dyDescent="0.25">
      <c r="A162" s="1" t="s">
        <v>371</v>
      </c>
      <c r="B162" s="1" t="s">
        <v>260</v>
      </c>
      <c r="C162" s="2">
        <v>46200</v>
      </c>
      <c r="D162" s="1"/>
    </row>
    <row r="163" spans="1:4" x14ac:dyDescent="0.25">
      <c r="A163" s="1" t="s">
        <v>371</v>
      </c>
      <c r="B163" s="1" t="s">
        <v>362</v>
      </c>
      <c r="C163" s="2">
        <v>46208</v>
      </c>
      <c r="D163" s="1" t="s">
        <v>271</v>
      </c>
    </row>
    <row r="164" spans="1:4" x14ac:dyDescent="0.25">
      <c r="A164" s="1" t="s">
        <v>371</v>
      </c>
      <c r="B164" s="1" t="s">
        <v>363</v>
      </c>
      <c r="C164" s="2">
        <v>46215</v>
      </c>
      <c r="D164" s="1" t="s">
        <v>366</v>
      </c>
    </row>
    <row r="165" spans="1:4" x14ac:dyDescent="0.25">
      <c r="A165" s="1" t="s">
        <v>371</v>
      </c>
      <c r="B165" s="1" t="s">
        <v>364</v>
      </c>
      <c r="C165" s="2">
        <v>46222</v>
      </c>
      <c r="D165" s="1" t="s">
        <v>372</v>
      </c>
    </row>
    <row r="166" spans="1:4" x14ac:dyDescent="0.25">
      <c r="A166" s="1" t="s">
        <v>371</v>
      </c>
      <c r="B166" s="1" t="s">
        <v>365</v>
      </c>
      <c r="C166" s="2">
        <v>46225</v>
      </c>
      <c r="D166" s="1"/>
    </row>
    <row r="167" spans="1:4" x14ac:dyDescent="0.25">
      <c r="A167" s="1" t="s">
        <v>371</v>
      </c>
      <c r="B167" s="1" t="s">
        <v>361</v>
      </c>
      <c r="C167" s="2">
        <v>46233</v>
      </c>
      <c r="D167" s="1"/>
    </row>
    <row r="168" spans="1:4" x14ac:dyDescent="0.25">
      <c r="A168" s="19" t="s">
        <v>411</v>
      </c>
      <c r="B168" s="1" t="s">
        <v>147</v>
      </c>
      <c r="C168" s="20">
        <v>46114</v>
      </c>
      <c r="D168" s="1"/>
    </row>
    <row r="169" spans="1:4" x14ac:dyDescent="0.25">
      <c r="A169" s="19" t="s">
        <v>411</v>
      </c>
      <c r="B169" s="1" t="s">
        <v>260</v>
      </c>
      <c r="C169" s="20">
        <v>46115</v>
      </c>
      <c r="D169" s="1"/>
    </row>
    <row r="170" spans="1:4" x14ac:dyDescent="0.25">
      <c r="A170" s="19" t="s">
        <v>411</v>
      </c>
      <c r="B170" s="1" t="s">
        <v>362</v>
      </c>
      <c r="C170" s="20">
        <v>46122</v>
      </c>
      <c r="D170" s="1" t="s">
        <v>270</v>
      </c>
    </row>
    <row r="171" spans="1:4" x14ac:dyDescent="0.25">
      <c r="A171" s="19" t="s">
        <v>411</v>
      </c>
      <c r="B171" s="1" t="s">
        <v>363</v>
      </c>
      <c r="C171" s="20">
        <v>46142</v>
      </c>
      <c r="D171" s="1" t="s">
        <v>377</v>
      </c>
    </row>
    <row r="172" spans="1:4" x14ac:dyDescent="0.25">
      <c r="A172" s="19" t="s">
        <v>411</v>
      </c>
      <c r="B172" s="1" t="s">
        <v>261</v>
      </c>
      <c r="C172" s="20">
        <v>46143</v>
      </c>
      <c r="D172" s="1"/>
    </row>
    <row r="173" spans="1:4" x14ac:dyDescent="0.25">
      <c r="A173" s="21" t="s">
        <v>412</v>
      </c>
      <c r="B173" s="1" t="s">
        <v>147</v>
      </c>
      <c r="C173" s="22">
        <v>46156</v>
      </c>
      <c r="D173" s="1"/>
    </row>
    <row r="174" spans="1:4" x14ac:dyDescent="0.25">
      <c r="A174" s="21" t="s">
        <v>412</v>
      </c>
      <c r="B174" s="1" t="s">
        <v>260</v>
      </c>
      <c r="C174" s="22">
        <v>46160</v>
      </c>
      <c r="D174" s="1"/>
    </row>
    <row r="175" spans="1:4" x14ac:dyDescent="0.25">
      <c r="A175" s="21" t="s">
        <v>412</v>
      </c>
      <c r="B175" s="1" t="s">
        <v>362</v>
      </c>
      <c r="C175" s="22">
        <v>46162</v>
      </c>
      <c r="D175" s="1" t="s">
        <v>270</v>
      </c>
    </row>
    <row r="176" spans="1:4" x14ac:dyDescent="0.25">
      <c r="A176" s="21" t="s">
        <v>412</v>
      </c>
      <c r="B176" s="1" t="s">
        <v>363</v>
      </c>
      <c r="C176" s="22">
        <v>46174</v>
      </c>
      <c r="D176" s="1" t="s">
        <v>377</v>
      </c>
    </row>
    <row r="177" spans="1:4" x14ac:dyDescent="0.25">
      <c r="A177" s="21" t="s">
        <v>412</v>
      </c>
      <c r="B177" s="1" t="s">
        <v>364</v>
      </c>
      <c r="C177" s="22">
        <v>46191</v>
      </c>
      <c r="D177" s="1" t="s">
        <v>422</v>
      </c>
    </row>
    <row r="178" spans="1:4" x14ac:dyDescent="0.25">
      <c r="A178" s="21" t="s">
        <v>412</v>
      </c>
      <c r="B178" s="1" t="s">
        <v>261</v>
      </c>
      <c r="C178" s="22">
        <v>46192</v>
      </c>
      <c r="D178" s="1"/>
    </row>
    <row r="179" spans="1:4" x14ac:dyDescent="0.25">
      <c r="A179" s="21" t="s">
        <v>413</v>
      </c>
      <c r="B179" s="1" t="s">
        <v>147</v>
      </c>
      <c r="C179" s="20">
        <v>46157</v>
      </c>
      <c r="D179" s="1"/>
    </row>
    <row r="180" spans="1:4" x14ac:dyDescent="0.25">
      <c r="A180" s="21" t="s">
        <v>413</v>
      </c>
      <c r="B180" s="1" t="s">
        <v>260</v>
      </c>
      <c r="C180" s="20">
        <v>46160</v>
      </c>
      <c r="D180" s="1"/>
    </row>
    <row r="181" spans="1:4" x14ac:dyDescent="0.25">
      <c r="A181" s="21" t="s">
        <v>413</v>
      </c>
      <c r="B181" s="1" t="s">
        <v>362</v>
      </c>
      <c r="C181" s="20">
        <v>46162</v>
      </c>
      <c r="D181" s="1" t="s">
        <v>270</v>
      </c>
    </row>
    <row r="182" spans="1:4" x14ac:dyDescent="0.25">
      <c r="A182" s="21" t="s">
        <v>413</v>
      </c>
      <c r="B182" s="1" t="s">
        <v>363</v>
      </c>
      <c r="C182" s="20">
        <v>46175</v>
      </c>
      <c r="D182" s="1" t="s">
        <v>377</v>
      </c>
    </row>
    <row r="183" spans="1:4" x14ac:dyDescent="0.25">
      <c r="A183" s="21" t="s">
        <v>413</v>
      </c>
      <c r="B183" s="1" t="s">
        <v>364</v>
      </c>
      <c r="C183" s="20">
        <v>46194</v>
      </c>
      <c r="D183" s="1" t="s">
        <v>422</v>
      </c>
    </row>
    <row r="184" spans="1:4" x14ac:dyDescent="0.25">
      <c r="A184" s="21" t="s">
        <v>413</v>
      </c>
      <c r="B184" s="1" t="s">
        <v>365</v>
      </c>
      <c r="C184" s="20">
        <v>46200</v>
      </c>
      <c r="D184" s="1"/>
    </row>
    <row r="185" spans="1:4" x14ac:dyDescent="0.25">
      <c r="A185" s="21" t="s">
        <v>413</v>
      </c>
      <c r="B185" s="1" t="s">
        <v>361</v>
      </c>
      <c r="C185" s="20">
        <v>46204</v>
      </c>
      <c r="D185" s="1"/>
    </row>
    <row r="186" spans="1:4" x14ac:dyDescent="0.25">
      <c r="A186" s="23" t="s">
        <v>420</v>
      </c>
      <c r="B186" s="1" t="s">
        <v>147</v>
      </c>
      <c r="C186" s="22">
        <v>46128</v>
      </c>
      <c r="D186" s="1"/>
    </row>
    <row r="187" spans="1:4" x14ac:dyDescent="0.25">
      <c r="A187" s="23" t="s">
        <v>420</v>
      </c>
      <c r="B187" s="1" t="s">
        <v>260</v>
      </c>
      <c r="C187" s="22">
        <v>46143</v>
      </c>
      <c r="D187" s="1"/>
    </row>
    <row r="188" spans="1:4" x14ac:dyDescent="0.25">
      <c r="A188" s="19" t="s">
        <v>421</v>
      </c>
      <c r="B188" s="1" t="s">
        <v>147</v>
      </c>
      <c r="C188" s="20">
        <v>46159</v>
      </c>
      <c r="D188" s="1"/>
    </row>
    <row r="189" spans="1:4" x14ac:dyDescent="0.25">
      <c r="A189" s="19" t="s">
        <v>421</v>
      </c>
      <c r="B189" s="1" t="s">
        <v>260</v>
      </c>
      <c r="C189" s="20">
        <v>46162</v>
      </c>
      <c r="D189" s="1"/>
    </row>
  </sheetData>
  <autoFilter ref="A1:C160" xr:uid="{52495818-CB7C-497A-B266-59DF56D117AD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0407-F63A-454D-A7BB-F16ACDE11279}">
  <dimension ref="A1:B8"/>
  <sheetViews>
    <sheetView workbookViewId="0">
      <selection activeCell="H15" sqref="H15"/>
    </sheetView>
  </sheetViews>
  <sheetFormatPr defaultRowHeight="15" x14ac:dyDescent="0.25"/>
  <cols>
    <col min="2" max="2" width="17.42578125" bestFit="1" customWidth="1"/>
  </cols>
  <sheetData>
    <row r="1" spans="1:2" x14ac:dyDescent="0.25">
      <c r="A1" s="1" t="s">
        <v>133</v>
      </c>
      <c r="B1" s="1" t="s">
        <v>19</v>
      </c>
    </row>
    <row r="2" spans="1:2" x14ac:dyDescent="0.25">
      <c r="A2" s="1" t="s">
        <v>134</v>
      </c>
      <c r="B2" s="1" t="s">
        <v>132</v>
      </c>
    </row>
    <row r="3" spans="1:2" x14ac:dyDescent="0.25">
      <c r="A3" s="1" t="s">
        <v>135</v>
      </c>
      <c r="B3" s="1" t="s">
        <v>141</v>
      </c>
    </row>
    <row r="4" spans="1:2" x14ac:dyDescent="0.25">
      <c r="A4" s="1" t="s">
        <v>136</v>
      </c>
      <c r="B4" s="1" t="s">
        <v>142</v>
      </c>
    </row>
    <row r="5" spans="1:2" x14ac:dyDescent="0.25">
      <c r="A5" s="1" t="s">
        <v>137</v>
      </c>
      <c r="B5" s="1" t="s">
        <v>143</v>
      </c>
    </row>
    <row r="6" spans="1:2" x14ac:dyDescent="0.25">
      <c r="A6" s="1" t="s">
        <v>138</v>
      </c>
      <c r="B6" s="1" t="s">
        <v>144</v>
      </c>
    </row>
    <row r="7" spans="1:2" x14ac:dyDescent="0.25">
      <c r="A7" s="1" t="s">
        <v>139</v>
      </c>
      <c r="B7" s="1" t="s">
        <v>145</v>
      </c>
    </row>
    <row r="8" spans="1:2" x14ac:dyDescent="0.25">
      <c r="A8" s="1" t="s">
        <v>140</v>
      </c>
      <c r="B8" s="1" t="s">
        <v>146</v>
      </c>
    </row>
  </sheetData>
  <autoFilter ref="A1:B8" xr:uid="{75DE0407-F63A-454D-A7BB-F16ACDE11279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2B30-F331-4EC9-887B-33C6A47EDD6A}">
  <dimension ref="A1:C22"/>
  <sheetViews>
    <sheetView workbookViewId="0">
      <selection activeCell="F18" sqref="F18"/>
    </sheetView>
  </sheetViews>
  <sheetFormatPr defaultRowHeight="15" x14ac:dyDescent="0.25"/>
  <cols>
    <col min="1" max="1" width="12.7109375" customWidth="1"/>
    <col min="2" max="2" width="16.140625" customWidth="1"/>
  </cols>
  <sheetData>
    <row r="1" spans="1:3" x14ac:dyDescent="0.25">
      <c r="A1" s="5" t="s">
        <v>262</v>
      </c>
      <c r="B1" s="5" t="s">
        <v>263</v>
      </c>
      <c r="C1" s="5" t="s">
        <v>281</v>
      </c>
    </row>
    <row r="2" spans="1:3" x14ac:dyDescent="0.25">
      <c r="A2" s="1" t="s">
        <v>269</v>
      </c>
      <c r="B2" s="1" t="s">
        <v>264</v>
      </c>
      <c r="C2" s="1" t="s">
        <v>50</v>
      </c>
    </row>
    <row r="3" spans="1:3" x14ac:dyDescent="0.25">
      <c r="A3" s="1" t="s">
        <v>268</v>
      </c>
      <c r="B3" s="1" t="s">
        <v>265</v>
      </c>
      <c r="C3" s="1" t="s">
        <v>50</v>
      </c>
    </row>
    <row r="4" spans="1:3" x14ac:dyDescent="0.25">
      <c r="A4" s="1" t="s">
        <v>270</v>
      </c>
      <c r="B4" s="1" t="s">
        <v>266</v>
      </c>
      <c r="C4" s="1" t="s">
        <v>50</v>
      </c>
    </row>
    <row r="5" spans="1:3" x14ac:dyDescent="0.25">
      <c r="A5" s="1" t="s">
        <v>271</v>
      </c>
      <c r="B5" s="1" t="s">
        <v>267</v>
      </c>
      <c r="C5" s="1" t="s">
        <v>50</v>
      </c>
    </row>
    <row r="6" spans="1:3" x14ac:dyDescent="0.25">
      <c r="A6" s="1" t="s">
        <v>272</v>
      </c>
      <c r="B6" s="1" t="s">
        <v>276</v>
      </c>
      <c r="C6" s="1" t="s">
        <v>280</v>
      </c>
    </row>
    <row r="7" spans="1:3" x14ac:dyDescent="0.25">
      <c r="A7" s="1" t="s">
        <v>273</v>
      </c>
      <c r="B7" s="1" t="s">
        <v>277</v>
      </c>
      <c r="C7" s="1" t="s">
        <v>280</v>
      </c>
    </row>
    <row r="8" spans="1:3" x14ac:dyDescent="0.25">
      <c r="A8" s="1" t="s">
        <v>274</v>
      </c>
      <c r="B8" s="1" t="s">
        <v>278</v>
      </c>
      <c r="C8" s="1" t="s">
        <v>280</v>
      </c>
    </row>
    <row r="9" spans="1:3" x14ac:dyDescent="0.25">
      <c r="A9" s="1" t="s">
        <v>275</v>
      </c>
      <c r="B9" s="1" t="s">
        <v>279</v>
      </c>
      <c r="C9" s="1" t="s">
        <v>280</v>
      </c>
    </row>
    <row r="10" spans="1:3" x14ac:dyDescent="0.25">
      <c r="A10" s="1" t="s">
        <v>373</v>
      </c>
      <c r="B10" s="1" t="s">
        <v>378</v>
      </c>
      <c r="C10" s="1" t="s">
        <v>280</v>
      </c>
    </row>
    <row r="11" spans="1:3" x14ac:dyDescent="0.25">
      <c r="A11" s="1" t="s">
        <v>374</v>
      </c>
      <c r="B11" s="1" t="s">
        <v>379</v>
      </c>
      <c r="C11" s="1" t="s">
        <v>280</v>
      </c>
    </row>
    <row r="12" spans="1:3" x14ac:dyDescent="0.25">
      <c r="A12" s="1" t="s">
        <v>375</v>
      </c>
      <c r="B12" s="1" t="s">
        <v>380</v>
      </c>
      <c r="C12" s="1" t="s">
        <v>280</v>
      </c>
    </row>
    <row r="13" spans="1:3" x14ac:dyDescent="0.25">
      <c r="A13" s="1" t="s">
        <v>366</v>
      </c>
      <c r="B13" s="1" t="s">
        <v>381</v>
      </c>
      <c r="C13" s="1" t="s">
        <v>280</v>
      </c>
    </row>
    <row r="14" spans="1:3" x14ac:dyDescent="0.25">
      <c r="A14" s="1" t="s">
        <v>372</v>
      </c>
      <c r="B14" s="1" t="s">
        <v>382</v>
      </c>
      <c r="C14" s="1" t="s">
        <v>280</v>
      </c>
    </row>
    <row r="15" spans="1:3" x14ac:dyDescent="0.25">
      <c r="A15" s="1" t="s">
        <v>376</v>
      </c>
      <c r="B15" s="1" t="s">
        <v>383</v>
      </c>
      <c r="C15" s="1" t="s">
        <v>280</v>
      </c>
    </row>
    <row r="16" spans="1:3" x14ac:dyDescent="0.25">
      <c r="A16" s="1" t="s">
        <v>377</v>
      </c>
      <c r="B16" s="1" t="s">
        <v>384</v>
      </c>
      <c r="C16" s="1" t="s">
        <v>280</v>
      </c>
    </row>
    <row r="17" spans="1:3" x14ac:dyDescent="0.25">
      <c r="A17" s="1" t="s">
        <v>385</v>
      </c>
      <c r="B17" s="1" t="s">
        <v>390</v>
      </c>
      <c r="C17" s="1" t="s">
        <v>50</v>
      </c>
    </row>
    <row r="18" spans="1:3" x14ac:dyDescent="0.25">
      <c r="A18" s="1" t="s">
        <v>386</v>
      </c>
      <c r="B18" s="1" t="s">
        <v>391</v>
      </c>
      <c r="C18" s="1" t="s">
        <v>50</v>
      </c>
    </row>
    <row r="19" spans="1:3" x14ac:dyDescent="0.25">
      <c r="A19" s="1" t="s">
        <v>387</v>
      </c>
      <c r="B19" s="1" t="s">
        <v>392</v>
      </c>
      <c r="C19" s="1" t="s">
        <v>50</v>
      </c>
    </row>
    <row r="20" spans="1:3" x14ac:dyDescent="0.25">
      <c r="A20" s="1" t="s">
        <v>388</v>
      </c>
      <c r="B20" s="1" t="s">
        <v>393</v>
      </c>
      <c r="C20" s="1" t="s">
        <v>50</v>
      </c>
    </row>
    <row r="21" spans="1:3" x14ac:dyDescent="0.25">
      <c r="A21" s="1" t="s">
        <v>389</v>
      </c>
      <c r="B21" s="1" t="s">
        <v>394</v>
      </c>
      <c r="C21" s="1" t="s">
        <v>50</v>
      </c>
    </row>
    <row r="22" spans="1:3" x14ac:dyDescent="0.25">
      <c r="A22" s="18" t="s">
        <v>422</v>
      </c>
      <c r="B22" s="18" t="s">
        <v>402</v>
      </c>
      <c r="C22" s="18" t="s">
        <v>280</v>
      </c>
    </row>
  </sheetData>
  <autoFilter ref="A1:C9" xr:uid="{3F632B30-F331-4EC9-887B-33C6A47EDD6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Candidate</vt:lpstr>
      <vt:lpstr>Job</vt:lpstr>
      <vt:lpstr>Application</vt:lpstr>
      <vt:lpstr>StatusHistory</vt:lpstr>
      <vt:lpstr>Source</vt:lpstr>
      <vt:lpstr>Interview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astry eka citrasari</dc:creator>
  <cp:lastModifiedBy>astry eka citrasari</cp:lastModifiedBy>
  <dcterms:created xsi:type="dcterms:W3CDTF">2026-07-20T07:19:15Z</dcterms:created>
  <dcterms:modified xsi:type="dcterms:W3CDTF">2026-08-06T03:31:34Z</dcterms:modified>
</cp:coreProperties>
</file>